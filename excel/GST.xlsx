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rthak\"/>
    </mc:Choice>
  </mc:AlternateContent>
  <bookViews>
    <workbookView xWindow="0" yWindow="0" windowWidth="16170" windowHeight="8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D34" i="1"/>
  <c r="D27" i="1"/>
  <c r="D28" i="1"/>
  <c r="D29" i="1"/>
  <c r="D30" i="1"/>
  <c r="D31" i="1"/>
  <c r="D32" i="1"/>
  <c r="D33" i="1"/>
  <c r="D26" i="1"/>
  <c r="H16" i="1"/>
  <c r="H17" i="1"/>
  <c r="H18" i="1"/>
  <c r="H19" i="1"/>
  <c r="H20" i="1"/>
  <c r="H21" i="1"/>
  <c r="H15" i="1"/>
  <c r="H4" i="1"/>
  <c r="G16" i="1"/>
  <c r="G17" i="1"/>
  <c r="G18" i="1"/>
  <c r="G19" i="1"/>
  <c r="G20" i="1"/>
  <c r="G21" i="1"/>
  <c r="G15" i="1"/>
  <c r="F16" i="1"/>
  <c r="F17" i="1"/>
  <c r="F18" i="1"/>
  <c r="F19" i="1"/>
  <c r="F20" i="1"/>
  <c r="F21" i="1"/>
  <c r="F15" i="1"/>
  <c r="F3" i="1"/>
  <c r="E16" i="1"/>
  <c r="E17" i="1"/>
  <c r="E18" i="1"/>
  <c r="E19" i="1"/>
  <c r="E20" i="1"/>
  <c r="E21" i="1"/>
  <c r="E15" i="1"/>
  <c r="H5" i="1"/>
  <c r="H6" i="1"/>
  <c r="H7" i="1"/>
  <c r="H8" i="1"/>
  <c r="H9" i="1"/>
  <c r="G4" i="1"/>
  <c r="G5" i="1"/>
  <c r="G6" i="1"/>
  <c r="G7" i="1"/>
  <c r="G8" i="1"/>
  <c r="G9" i="1"/>
  <c r="F4" i="1"/>
  <c r="F5" i="1"/>
  <c r="F6" i="1"/>
  <c r="F7" i="1"/>
  <c r="F8" i="1"/>
  <c r="F9" i="1"/>
  <c r="E4" i="1"/>
  <c r="E5" i="1"/>
  <c r="E6" i="1"/>
  <c r="E7" i="1"/>
  <c r="E8" i="1"/>
  <c r="E9" i="1"/>
  <c r="J4" i="1"/>
  <c r="G3" i="1"/>
  <c r="H3" i="1" s="1"/>
  <c r="E3" i="1"/>
</calcChain>
</file>

<file path=xl/sharedStrings.xml><?xml version="1.0" encoding="utf-8"?>
<sst xmlns="http://schemas.openxmlformats.org/spreadsheetml/2006/main" count="47" uniqueCount="36">
  <si>
    <t xml:space="preserve">product </t>
  </si>
  <si>
    <t>qty</t>
  </si>
  <si>
    <t>rate</t>
  </si>
  <si>
    <t>total</t>
  </si>
  <si>
    <t>discount</t>
  </si>
  <si>
    <t xml:space="preserve">price </t>
  </si>
  <si>
    <t xml:space="preserve">discount </t>
  </si>
  <si>
    <t xml:space="preserve">paid dis </t>
  </si>
  <si>
    <t xml:space="preserve">mouse </t>
  </si>
  <si>
    <t xml:space="preserve">keyboard </t>
  </si>
  <si>
    <t>monitor</t>
  </si>
  <si>
    <t>cpu</t>
  </si>
  <si>
    <t>printer</t>
  </si>
  <si>
    <t>sccaner</t>
  </si>
  <si>
    <t>ac</t>
  </si>
  <si>
    <t>product</t>
  </si>
  <si>
    <t>paid dis</t>
  </si>
  <si>
    <t>price</t>
  </si>
  <si>
    <t>mouse</t>
  </si>
  <si>
    <t>keyboard</t>
  </si>
  <si>
    <t>scanner</t>
  </si>
  <si>
    <t>gst invoice</t>
  </si>
  <si>
    <t>item name</t>
  </si>
  <si>
    <t>pendrive</t>
  </si>
  <si>
    <t>chair</t>
  </si>
  <si>
    <t>wifi adapter</t>
  </si>
  <si>
    <t>speaker</t>
  </si>
  <si>
    <t>headphone</t>
  </si>
  <si>
    <t>unit rate</t>
  </si>
  <si>
    <t>amount</t>
  </si>
  <si>
    <t>Total</t>
  </si>
  <si>
    <t>discount 20%</t>
  </si>
  <si>
    <t>Texable amount</t>
  </si>
  <si>
    <t>CGST 9%</t>
  </si>
  <si>
    <t>SGST 9%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</si>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</sst>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0" fillId="6" borderId="0" xfId="0" applyFill="1"/>
    <xf numFmtId="0" fontId="0" fillId="2" borderId="0" xfId="0" applyFill="1"/>
    <xf numFmtId="0" fontId="0" fillId="6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16" workbookViewId="0">
      <selection activeCell="H38" sqref="H38"/>
    </sheetView>
  </sheetViews>
  <sheetFormatPr defaultRowHeight="15" x14ac:dyDescent="0.25"/>
  <cols>
    <col min="1" max="1" width="15.42578125" bestFit="1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5" t="s">
        <v>0</v>
      </c>
      <c r="B2" s="6"/>
      <c r="C2" s="3" t="s">
        <v>1</v>
      </c>
      <c r="D2" s="3" t="s">
        <v>2</v>
      </c>
      <c r="E2" s="3" t="s">
        <v>3</v>
      </c>
      <c r="F2" s="3" t="s">
        <v>6</v>
      </c>
      <c r="G2" s="3" t="s">
        <v>7</v>
      </c>
      <c r="H2" s="3" t="s">
        <v>5</v>
      </c>
    </row>
    <row r="3" spans="1:10" x14ac:dyDescent="0.25">
      <c r="A3" s="5" t="s">
        <v>8</v>
      </c>
      <c r="B3" s="6"/>
      <c r="C3" s="3">
        <v>9</v>
      </c>
      <c r="D3" s="3">
        <v>1000</v>
      </c>
      <c r="E3" s="3">
        <f>C3*D3</f>
        <v>9000</v>
      </c>
      <c r="F3" s="3" t="str">
        <f>IF(E3&gt;=10000,"10%","5%")</f>
        <v>5%</v>
      </c>
      <c r="G3" s="3">
        <f>E3*F3</f>
        <v>450</v>
      </c>
      <c r="H3" s="3">
        <f>E3-G3</f>
        <v>8550</v>
      </c>
    </row>
    <row r="4" spans="1:10" x14ac:dyDescent="0.25">
      <c r="A4" s="5" t="s">
        <v>9</v>
      </c>
      <c r="B4" s="6"/>
      <c r="C4" s="3">
        <v>3</v>
      </c>
      <c r="D4" s="3">
        <v>1500</v>
      </c>
      <c r="E4" s="3">
        <f t="shared" ref="E4:E9" si="0">C4*D4</f>
        <v>4500</v>
      </c>
      <c r="F4" s="3" t="str">
        <f t="shared" ref="F4:F9" si="1">IF(E4&gt;=10000,"10%","5%")</f>
        <v>5%</v>
      </c>
      <c r="G4" s="3">
        <f t="shared" ref="G4:G9" si="2">E4*F4</f>
        <v>225</v>
      </c>
      <c r="H4" s="3">
        <f>E4-G4</f>
        <v>4275</v>
      </c>
      <c r="J4">
        <f>IF(E3&gt;=10000,E3*10%,E3*5%)</f>
        <v>450</v>
      </c>
    </row>
    <row r="5" spans="1:10" x14ac:dyDescent="0.25">
      <c r="A5" s="5" t="s">
        <v>10</v>
      </c>
      <c r="B5" s="6"/>
      <c r="C5" s="3">
        <v>5</v>
      </c>
      <c r="D5" s="3">
        <v>4000</v>
      </c>
      <c r="E5" s="3">
        <f t="shared" si="0"/>
        <v>20000</v>
      </c>
      <c r="F5" s="3" t="str">
        <f t="shared" si="1"/>
        <v>10%</v>
      </c>
      <c r="G5" s="3">
        <f t="shared" si="2"/>
        <v>2000</v>
      </c>
      <c r="H5" s="3">
        <f t="shared" ref="H4:H9" si="3">E5-G5</f>
        <v>18000</v>
      </c>
    </row>
    <row r="6" spans="1:10" x14ac:dyDescent="0.25">
      <c r="A6" s="5" t="s">
        <v>11</v>
      </c>
      <c r="B6" s="6"/>
      <c r="C6" s="3">
        <v>8</v>
      </c>
      <c r="D6" s="3">
        <v>6000</v>
      </c>
      <c r="E6" s="3">
        <f t="shared" si="0"/>
        <v>48000</v>
      </c>
      <c r="F6" s="3" t="str">
        <f t="shared" si="1"/>
        <v>10%</v>
      </c>
      <c r="G6" s="3">
        <f t="shared" si="2"/>
        <v>4800</v>
      </c>
      <c r="H6" s="3">
        <f t="shared" si="3"/>
        <v>43200</v>
      </c>
    </row>
    <row r="7" spans="1:10" x14ac:dyDescent="0.25">
      <c r="A7" s="5" t="s">
        <v>12</v>
      </c>
      <c r="B7" s="6"/>
      <c r="C7" s="3">
        <v>9</v>
      </c>
      <c r="D7" s="3">
        <v>4500</v>
      </c>
      <c r="E7" s="3">
        <f t="shared" si="0"/>
        <v>40500</v>
      </c>
      <c r="F7" s="3" t="str">
        <f t="shared" si="1"/>
        <v>10%</v>
      </c>
      <c r="G7" s="3">
        <f t="shared" si="2"/>
        <v>4050</v>
      </c>
      <c r="H7" s="3">
        <f t="shared" si="3"/>
        <v>36450</v>
      </c>
    </row>
    <row r="8" spans="1:10" x14ac:dyDescent="0.25">
      <c r="A8" s="5" t="s">
        <v>13</v>
      </c>
      <c r="B8" s="6"/>
      <c r="C8" s="3">
        <v>7</v>
      </c>
      <c r="D8" s="3">
        <v>5000</v>
      </c>
      <c r="E8" s="3">
        <f t="shared" si="0"/>
        <v>35000</v>
      </c>
      <c r="F8" s="3" t="str">
        <f t="shared" si="1"/>
        <v>10%</v>
      </c>
      <c r="G8" s="3">
        <f t="shared" si="2"/>
        <v>3500</v>
      </c>
      <c r="H8" s="3">
        <f t="shared" si="3"/>
        <v>31500</v>
      </c>
    </row>
    <row r="9" spans="1:10" x14ac:dyDescent="0.25">
      <c r="A9" s="5" t="s">
        <v>14</v>
      </c>
      <c r="B9" s="6"/>
      <c r="C9" s="3">
        <v>5</v>
      </c>
      <c r="D9" s="3">
        <v>25000</v>
      </c>
      <c r="E9" s="3">
        <f t="shared" si="0"/>
        <v>125000</v>
      </c>
      <c r="F9" s="3" t="str">
        <f t="shared" si="1"/>
        <v>10%</v>
      </c>
      <c r="G9" s="3">
        <f t="shared" si="2"/>
        <v>12500</v>
      </c>
      <c r="H9" s="3">
        <f t="shared" si="3"/>
        <v>112500</v>
      </c>
    </row>
    <row r="13" spans="1:10" x14ac:dyDescent="0.25">
      <c r="A13" s="8"/>
      <c r="B13" s="8"/>
      <c r="C13" s="8"/>
      <c r="D13" s="8"/>
      <c r="E13" s="8"/>
      <c r="F13" s="8"/>
      <c r="G13" s="8"/>
      <c r="H13" s="8"/>
    </row>
    <row r="14" spans="1:10" x14ac:dyDescent="0.25">
      <c r="A14" s="4" t="s">
        <v>15</v>
      </c>
      <c r="B14" s="4"/>
      <c r="C14" s="3" t="s">
        <v>1</v>
      </c>
      <c r="D14" s="3" t="s">
        <v>2</v>
      </c>
      <c r="E14" s="3" t="s">
        <v>3</v>
      </c>
      <c r="F14" s="3" t="s">
        <v>4</v>
      </c>
      <c r="G14" s="3" t="s">
        <v>16</v>
      </c>
      <c r="H14" s="3" t="s">
        <v>17</v>
      </c>
    </row>
    <row r="15" spans="1:10" x14ac:dyDescent="0.25">
      <c r="A15" s="5" t="s">
        <v>18</v>
      </c>
      <c r="B15" s="6"/>
      <c r="C15" s="3">
        <v>5</v>
      </c>
      <c r="D15" s="3">
        <v>1000</v>
      </c>
      <c r="E15" s="3">
        <f>D15*C15</f>
        <v>5000</v>
      </c>
      <c r="F15" s="3" t="str">
        <f>IF(E15&gt;=50000,"10%","5%")</f>
        <v>5%</v>
      </c>
      <c r="G15" s="3">
        <f>E15*F15</f>
        <v>250</v>
      </c>
      <c r="H15" s="3">
        <f>E15-G15</f>
        <v>4750</v>
      </c>
    </row>
    <row r="16" spans="1:10" x14ac:dyDescent="0.25">
      <c r="A16" s="5" t="s">
        <v>19</v>
      </c>
      <c r="B16" s="6"/>
      <c r="C16" s="3">
        <v>9</v>
      </c>
      <c r="D16" s="3">
        <v>5000</v>
      </c>
      <c r="E16" s="3">
        <f t="shared" ref="E16:E21" si="4">D16*C16</f>
        <v>45000</v>
      </c>
      <c r="F16" s="3" t="str">
        <f t="shared" ref="F16:F21" si="5">IF(E16&gt;=50000,"10%","5%")</f>
        <v>5%</v>
      </c>
      <c r="G16" s="3">
        <f t="shared" ref="G16:G21" si="6">E16*F16</f>
        <v>2250</v>
      </c>
      <c r="H16" s="3">
        <f t="shared" ref="H16:H21" si="7">E16-G16</f>
        <v>42750</v>
      </c>
    </row>
    <row r="17" spans="1:8" x14ac:dyDescent="0.25">
      <c r="A17" s="5" t="s">
        <v>10</v>
      </c>
      <c r="B17" s="6"/>
      <c r="C17" s="3">
        <v>8</v>
      </c>
      <c r="D17" s="3">
        <v>5500</v>
      </c>
      <c r="E17" s="3">
        <f t="shared" si="4"/>
        <v>44000</v>
      </c>
      <c r="F17" s="3" t="str">
        <f t="shared" si="5"/>
        <v>5%</v>
      </c>
      <c r="G17" s="3">
        <f t="shared" si="6"/>
        <v>2200</v>
      </c>
      <c r="H17" s="3">
        <f t="shared" si="7"/>
        <v>41800</v>
      </c>
    </row>
    <row r="18" spans="1:8" x14ac:dyDescent="0.25">
      <c r="A18" s="5" t="s">
        <v>11</v>
      </c>
      <c r="B18" s="6"/>
      <c r="C18" s="3">
        <v>3</v>
      </c>
      <c r="D18" s="3">
        <v>77000</v>
      </c>
      <c r="E18" s="3">
        <f t="shared" si="4"/>
        <v>231000</v>
      </c>
      <c r="F18" s="3" t="str">
        <f t="shared" si="5"/>
        <v>10%</v>
      </c>
      <c r="G18" s="3">
        <f t="shared" si="6"/>
        <v>23100</v>
      </c>
      <c r="H18" s="3">
        <f t="shared" si="7"/>
        <v>207900</v>
      </c>
    </row>
    <row r="19" spans="1:8" x14ac:dyDescent="0.25">
      <c r="A19" s="5" t="s">
        <v>12</v>
      </c>
      <c r="B19" s="6"/>
      <c r="C19" s="3">
        <v>4</v>
      </c>
      <c r="D19" s="3">
        <v>20000</v>
      </c>
      <c r="E19" s="3">
        <f t="shared" si="4"/>
        <v>80000</v>
      </c>
      <c r="F19" s="3" t="str">
        <f t="shared" si="5"/>
        <v>10%</v>
      </c>
      <c r="G19" s="3">
        <f t="shared" si="6"/>
        <v>8000</v>
      </c>
      <c r="H19" s="3">
        <f t="shared" si="7"/>
        <v>72000</v>
      </c>
    </row>
    <row r="20" spans="1:8" x14ac:dyDescent="0.25">
      <c r="A20" s="5" t="s">
        <v>20</v>
      </c>
      <c r="B20" s="6"/>
      <c r="C20" s="3">
        <v>7</v>
      </c>
      <c r="D20" s="3">
        <v>3000</v>
      </c>
      <c r="E20" s="3">
        <f t="shared" si="4"/>
        <v>21000</v>
      </c>
      <c r="F20" s="3" t="str">
        <f t="shared" si="5"/>
        <v>5%</v>
      </c>
      <c r="G20" s="3">
        <f t="shared" si="6"/>
        <v>1050</v>
      </c>
      <c r="H20" s="3">
        <f t="shared" si="7"/>
        <v>19950</v>
      </c>
    </row>
    <row r="21" spans="1:8" x14ac:dyDescent="0.25">
      <c r="A21" s="5" t="s">
        <v>14</v>
      </c>
      <c r="B21" s="6"/>
      <c r="C21" s="3">
        <v>3</v>
      </c>
      <c r="D21" s="3">
        <v>100000</v>
      </c>
      <c r="E21" s="3">
        <f t="shared" si="4"/>
        <v>300000</v>
      </c>
      <c r="F21" s="3" t="str">
        <f t="shared" si="5"/>
        <v>10%</v>
      </c>
      <c r="G21" s="3">
        <f t="shared" si="6"/>
        <v>30000</v>
      </c>
      <c r="H21" s="3">
        <f t="shared" si="7"/>
        <v>270000</v>
      </c>
    </row>
    <row r="24" spans="1:8" x14ac:dyDescent="0.25">
      <c r="A24" s="2" t="s">
        <v>21</v>
      </c>
      <c r="B24" s="2"/>
      <c r="C24" s="2"/>
      <c r="D24" s="2"/>
    </row>
    <row r="25" spans="1:8" x14ac:dyDescent="0.25">
      <c r="A25" s="10" t="s">
        <v>22</v>
      </c>
      <c r="B25" s="10" t="s">
        <v>1</v>
      </c>
      <c r="C25" t="s">
        <v>28</v>
      </c>
      <c r="D25" t="s">
        <v>29</v>
      </c>
    </row>
    <row r="26" spans="1:8" x14ac:dyDescent="0.25">
      <c r="A26" t="s">
        <v>23</v>
      </c>
      <c r="B26">
        <v>15</v>
      </c>
      <c r="C26">
        <v>250</v>
      </c>
      <c r="D26">
        <f>C26*B26</f>
        <v>3750</v>
      </c>
    </row>
    <row r="27" spans="1:8" x14ac:dyDescent="0.25">
      <c r="A27" t="s">
        <v>10</v>
      </c>
      <c r="B27">
        <v>5</v>
      </c>
      <c r="C27">
        <v>3000</v>
      </c>
      <c r="D27">
        <f t="shared" ref="D27:D33" si="8">C27*B27</f>
        <v>15000</v>
      </c>
    </row>
    <row r="28" spans="1:8" x14ac:dyDescent="0.25">
      <c r="A28" t="s">
        <v>19</v>
      </c>
      <c r="B28">
        <v>12</v>
      </c>
      <c r="C28">
        <v>750</v>
      </c>
      <c r="D28">
        <f t="shared" si="8"/>
        <v>9000</v>
      </c>
    </row>
    <row r="29" spans="1:8" x14ac:dyDescent="0.25">
      <c r="A29" t="s">
        <v>18</v>
      </c>
      <c r="B29">
        <v>20</v>
      </c>
      <c r="C29">
        <v>400</v>
      </c>
      <c r="D29">
        <f t="shared" si="8"/>
        <v>8000</v>
      </c>
    </row>
    <row r="30" spans="1:8" x14ac:dyDescent="0.25">
      <c r="A30" t="s">
        <v>24</v>
      </c>
      <c r="B30">
        <v>10</v>
      </c>
      <c r="C30">
        <v>250</v>
      </c>
      <c r="D30">
        <f t="shared" si="8"/>
        <v>2500</v>
      </c>
    </row>
    <row r="31" spans="1:8" x14ac:dyDescent="0.25">
      <c r="A31" t="s">
        <v>25</v>
      </c>
      <c r="B31">
        <v>18</v>
      </c>
      <c r="C31">
        <v>450</v>
      </c>
      <c r="D31">
        <f t="shared" si="8"/>
        <v>8100</v>
      </c>
    </row>
    <row r="32" spans="1:8" x14ac:dyDescent="0.25">
      <c r="A32" t="s">
        <v>26</v>
      </c>
      <c r="B32">
        <v>15</v>
      </c>
      <c r="C32">
        <v>500</v>
      </c>
      <c r="D32">
        <f t="shared" si="8"/>
        <v>7500</v>
      </c>
    </row>
    <row r="33" spans="1:4" x14ac:dyDescent="0.25">
      <c r="A33" t="s">
        <v>27</v>
      </c>
      <c r="B33">
        <v>5</v>
      </c>
      <c r="C33">
        <v>700</v>
      </c>
      <c r="D33">
        <f t="shared" si="8"/>
        <v>3500</v>
      </c>
    </row>
    <row r="34" spans="1:4" x14ac:dyDescent="0.25">
      <c r="A34" s="9" t="s">
        <v>30</v>
      </c>
      <c r="B34" s="9"/>
      <c r="C34" s="9"/>
      <c r="D34" s="11">
        <f>SUM(D26:D33)</f>
        <v>57350</v>
      </c>
    </row>
    <row r="35" spans="1:4" x14ac:dyDescent="0.25">
      <c r="A35" s="14" t="s">
        <v>31</v>
      </c>
      <c r="B35" s="7">
        <f>D34*20%</f>
        <v>11470</v>
      </c>
      <c r="C35" s="7"/>
      <c r="D35" s="7"/>
    </row>
    <row r="36" spans="1:4" x14ac:dyDescent="0.25">
      <c r="A36" s="12" t="s">
        <v>32</v>
      </c>
      <c r="B36" s="13">
        <f>D34-B35</f>
        <v>45880</v>
      </c>
      <c r="C36" s="13"/>
      <c r="D36" s="13"/>
    </row>
    <row r="37" spans="1:4" x14ac:dyDescent="0.25">
      <c r="A37" t="s">
        <v>33</v>
      </c>
      <c r="B37" s="1">
        <f>B36*9%</f>
        <v>4129.2</v>
      </c>
      <c r="C37" s="1"/>
      <c r="D37" s="1"/>
    </row>
    <row r="38" spans="1:4" x14ac:dyDescent="0.25">
      <c r="A38" t="s">
        <v>34</v>
      </c>
      <c r="B38" s="1">
        <f>B36*9%</f>
        <v>4129.2</v>
      </c>
      <c r="C38" s="1"/>
      <c r="D38" s="1"/>
    </row>
    <row r="39" spans="1:4" x14ac:dyDescent="0.25">
      <c r="A39" s="12" t="s">
        <v>35</v>
      </c>
      <c r="B39" s="13">
        <f>SUM(B36:D38)</f>
        <v>54138.399999999994</v>
      </c>
      <c r="C39" s="13"/>
      <c r="D39" s="13"/>
    </row>
  </sheetData>
  <mergeCells count="25">
    <mergeCell ref="B35:D35"/>
    <mergeCell ref="B36:D36"/>
    <mergeCell ref="B39:D39"/>
    <mergeCell ref="B37:D37"/>
    <mergeCell ref="B38:D38"/>
    <mergeCell ref="A19:B19"/>
    <mergeCell ref="A20:B20"/>
    <mergeCell ref="A21:B21"/>
    <mergeCell ref="A24:D24"/>
    <mergeCell ref="A34:C34"/>
    <mergeCell ref="A7:B7"/>
    <mergeCell ref="A8:B8"/>
    <mergeCell ref="A9:B9"/>
    <mergeCell ref="A13:H13"/>
    <mergeCell ref="A14:B14"/>
    <mergeCell ref="A15:B15"/>
    <mergeCell ref="A16:B16"/>
    <mergeCell ref="A17:B17"/>
    <mergeCell ref="A18:B18"/>
    <mergeCell ref="A1:H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2026-10-01T07:20:17Z</dcterms:created>
  <dcterms:modified xsi:type="dcterms:W3CDTF">2026-10-01T08:04:31Z</dcterms:modified>
</cp:coreProperties>
</file>