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 defaultThemeVersion="124226"/>
  <bookViews>
    <workbookView xWindow="0" yWindow="0" windowWidth="15360" windowHeight="7605" tabRatio="944" firstSheet="10" activeTab="18"/>
  </bookViews>
  <sheets>
    <sheet name="Pivot Table Data" sheetId="5" r:id="rId1"/>
    <sheet name="IF Statement" sheetId="1" r:id="rId2"/>
    <sheet name="AND-OR" sheetId="2" r:id="rId3"/>
    <sheet name="Lookup" sheetId="16" r:id="rId4"/>
    <sheet name="Vlookup" sheetId="17" r:id="rId5"/>
    <sheet name="HLookup" sheetId="18" r:id="rId6"/>
    <sheet name="If-vlookup" sheetId="21" r:id="rId7"/>
    <sheet name="Count" sheetId="6" r:id="rId8"/>
    <sheet name="Counta" sheetId="7" r:id="rId9"/>
    <sheet name="CountBlank" sheetId="14" r:id="rId10"/>
    <sheet name="CountIf" sheetId="8" r:id="rId11"/>
    <sheet name="SumIf" sheetId="10" r:id="rId12"/>
    <sheet name="Concatenate" sheetId="9" r:id="rId13"/>
    <sheet name="Clean" sheetId="11" r:id="rId14"/>
    <sheet name="DAVERAGE" sheetId="12" r:id="rId15"/>
    <sheet name="DSUM" sheetId="13" r:id="rId16"/>
    <sheet name="Filter" sheetId="4" r:id="rId17"/>
    <sheet name="Adv. Filter" sheetId="3" r:id="rId18"/>
    <sheet name="Data Table Analysis" sheetId="23" r:id="rId19"/>
  </sheets>
  <definedNames>
    <definedName name="_xlnm._FilterDatabase" localSheetId="17" hidden="1">'Adv. Filter'!$B$10:$F$25</definedName>
    <definedName name="_xlnm._FilterDatabase" localSheetId="16" hidden="1">Filter!$B$10:$F$25</definedName>
    <definedName name="_xlnm.Criteria" localSheetId="17">'Adv. Filter'!$I$10:$K$11</definedName>
    <definedName name="_xlnm.Criteria" localSheetId="16">Filter!$I$12:$M$13</definedName>
    <definedName name="_xlnm.Extract" localSheetId="17">'Adv. Filter'!$I$15:$M$15</definedName>
    <definedName name="_xlnm.Extract" localSheetId="16">Filter!$H$27:$L$27</definedName>
  </definedNames>
  <calcPr calcId="152511"/>
  <pivotCaches>
    <pivotCache cacheId="0" r:id="rId20"/>
    <pivotCache cacheId="1" r:id="rId21"/>
  </pivotCaches>
</workbook>
</file>

<file path=xl/calcChain.xml><?xml version="1.0" encoding="utf-8"?>
<calcChain xmlns="http://schemas.openxmlformats.org/spreadsheetml/2006/main">
  <c r="A15" i="23" l="1"/>
  <c r="A14" i="23"/>
  <c r="A13" i="23"/>
  <c r="E44" i="12" l="1"/>
  <c r="C15" i="11" l="1"/>
  <c r="C16" i="11"/>
  <c r="C14" i="11"/>
  <c r="D14" i="9"/>
  <c r="D13" i="9"/>
  <c r="G24" i="10" l="1"/>
  <c r="G29" i="8"/>
  <c r="G27" i="8"/>
  <c r="G26" i="8"/>
  <c r="G25" i="8"/>
  <c r="F57" i="17" l="1"/>
  <c r="E57" i="17"/>
  <c r="D57" i="17"/>
  <c r="C57" i="17"/>
  <c r="G31" i="17"/>
  <c r="H53" i="16"/>
  <c r="I29" i="16"/>
  <c r="D43" i="1"/>
  <c r="D34" i="1"/>
  <c r="E24" i="1"/>
  <c r="E15" i="1"/>
  <c r="E16" i="1"/>
  <c r="D28" i="18"/>
  <c r="F23" i="17"/>
  <c r="J39" i="16"/>
  <c r="K37" i="14"/>
  <c r="K36" i="14"/>
  <c r="K35" i="14"/>
  <c r="K34" i="14"/>
  <c r="K33" i="14"/>
  <c r="K32" i="14"/>
  <c r="K31" i="14"/>
  <c r="K30" i="14"/>
  <c r="K29" i="14"/>
  <c r="K28" i="14"/>
  <c r="L26" i="7"/>
  <c r="L25" i="7"/>
  <c r="L24" i="7"/>
  <c r="L23" i="7"/>
  <c r="L22" i="7"/>
  <c r="L21" i="7"/>
  <c r="L20" i="7"/>
  <c r="L19" i="7"/>
  <c r="L18" i="7"/>
  <c r="L17" i="7"/>
  <c r="E24" i="6"/>
  <c r="D33" i="1"/>
  <c r="C31" i="23"/>
  <c r="C23" i="23"/>
  <c r="C19" i="23"/>
  <c r="C21" i="23"/>
  <c r="C10" i="23"/>
  <c r="E23" i="14"/>
  <c r="D44" i="1"/>
  <c r="E25" i="1"/>
  <c r="D24" i="9"/>
  <c r="E84" i="13"/>
  <c r="D42" i="1"/>
  <c r="C29" i="23"/>
  <c r="C27" i="23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E18" i="14"/>
  <c r="E19" i="14"/>
  <c r="E20" i="14"/>
  <c r="E21" i="14"/>
  <c r="E24" i="14"/>
  <c r="E17" i="14"/>
  <c r="E18" i="7"/>
  <c r="E19" i="7"/>
  <c r="E20" i="7"/>
  <c r="E21" i="7"/>
  <c r="E23" i="7"/>
  <c r="E24" i="7"/>
  <c r="E18" i="6"/>
  <c r="E19" i="6"/>
  <c r="E20" i="6"/>
  <c r="E21" i="6"/>
  <c r="E23" i="6"/>
  <c r="G32" i="17"/>
  <c r="G33" i="17"/>
  <c r="G34" i="17"/>
  <c r="G35" i="17"/>
  <c r="G36" i="17"/>
  <c r="C22" i="14"/>
  <c r="E22" i="14" s="1"/>
  <c r="C25" i="14"/>
  <c r="E25" i="14"/>
  <c r="I20" i="13"/>
  <c r="I21" i="13"/>
  <c r="I22" i="13"/>
  <c r="I23" i="13"/>
  <c r="I24" i="13"/>
  <c r="E45" i="13"/>
  <c r="I25" i="13"/>
  <c r="I26" i="13"/>
  <c r="I27" i="13"/>
  <c r="I28" i="13"/>
  <c r="C57" i="13"/>
  <c r="I29" i="13"/>
  <c r="I30" i="13"/>
  <c r="I31" i="13"/>
  <c r="I32" i="13"/>
  <c r="I33" i="13"/>
  <c r="I34" i="13"/>
  <c r="I35" i="13"/>
  <c r="B45" i="13"/>
  <c r="C85" i="13"/>
  <c r="C94" i="13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B44" i="12"/>
  <c r="B56" i="12"/>
  <c r="E56" i="12"/>
  <c r="B66" i="12"/>
  <c r="E66" i="12"/>
  <c r="C94" i="12"/>
  <c r="E17" i="7"/>
  <c r="C22" i="7"/>
  <c r="E22" i="7" s="1"/>
  <c r="C25" i="7"/>
  <c r="E25" i="7"/>
  <c r="E17" i="6"/>
  <c r="C22" i="6"/>
  <c r="E22" i="6" s="1"/>
  <c r="C25" i="6"/>
  <c r="E25" i="6"/>
  <c r="F33" i="2"/>
  <c r="F34" i="2"/>
  <c r="F35" i="2"/>
  <c r="F36" i="2"/>
  <c r="F37" i="2"/>
  <c r="F32" i="2"/>
  <c r="I18" i="2"/>
  <c r="I17" i="2"/>
  <c r="I16" i="2"/>
  <c r="I15" i="2"/>
  <c r="I14" i="2"/>
  <c r="I13" i="2"/>
  <c r="H18" i="2"/>
  <c r="H17" i="2"/>
  <c r="H16" i="2"/>
  <c r="H15" i="2"/>
  <c r="H14" i="2"/>
  <c r="H13" i="2"/>
  <c r="D48" i="1"/>
  <c r="D47" i="1"/>
  <c r="D46" i="1"/>
  <c r="D45" i="1"/>
  <c r="D35" i="1"/>
  <c r="D36" i="1"/>
  <c r="D37" i="1"/>
  <c r="D38" i="1"/>
  <c r="E29" i="1"/>
  <c r="E28" i="1"/>
  <c r="E27" i="1"/>
  <c r="E26" i="1"/>
  <c r="E18" i="1"/>
  <c r="E19" i="1"/>
  <c r="E20" i="1"/>
  <c r="E17" i="1"/>
</calcChain>
</file>

<file path=xl/comments1.xml><?xml version="1.0" encoding="utf-8"?>
<comments xmlns="http://schemas.openxmlformats.org/spreadsheetml/2006/main">
  <authors>
    <author>Author</author>
  </authors>
  <commentList>
    <comment ref="E1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Cambria"/>
            <family val="1"/>
          </rPr>
          <t>IF Sales are Greater than Target - "Achieved"
Otherwise - "Not Achieved"
=IF(C15&gt;=D15,"Achieved","Not Achieved")</t>
        </r>
      </text>
    </comment>
    <comment ref="E24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Cambria"/>
            <family val="1"/>
          </rPr>
          <t>IF Sales are Greater than Target - Bonus is 10% on sales
Otherwise - Bonus is 5% on sales
=IF(C24&gt;=D24,C24*10%,C24*5%)</t>
        </r>
      </text>
    </comment>
    <comment ref="D33" authorId="0" shapeId="0">
      <text>
        <r>
          <rPr>
            <b/>
            <sz val="11"/>
            <color indexed="81"/>
            <rFont val="Cambria"/>
            <family val="1"/>
          </rPr>
          <t>Author:</t>
        </r>
        <r>
          <rPr>
            <sz val="11"/>
            <color indexed="81"/>
            <rFont val="Cambria"/>
            <family val="1"/>
          </rPr>
          <t xml:space="preserve">
IF Sales are &gt;=5000 Bonus is 20% on sales,
Sales are &gt;=4000 Bonus is 15% on Sales,
Sales are &gt;=3000 Bonus is 10% on Sales,
Otherwise, Bonus is 5% on Sales
=IF(C33&gt;=5000,C33*20%,IF(C33&gt;=4000,C33*15%,IF(C33&gt;=3000,C33*10%,C33*5%)))</t>
        </r>
      </text>
    </comment>
    <comment ref="D42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Cambria"/>
            <family val="1"/>
          </rPr>
          <t>Calculate the Eligibility Criteria for a person, fill up the empty cell as to E / NE on the basis of following Criteria
1 IF M and Age&gt;=21 E else NE
2 IF F and Age&gt;=18 E else NE
=IF(B42="M",IF(C42&gt;=21,"E","NE"),IF(B42="F",IF(C42&gt;=18,"E","NE")))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32" authorId="0" shapeId="0">
      <text>
        <r>
          <rPr>
            <b/>
            <sz val="8"/>
            <color indexed="81"/>
            <rFont val="Tahoma"/>
            <family val="2"/>
          </rPr>
          <t xml:space="preserve">Author:
</t>
        </r>
        <r>
          <rPr>
            <sz val="11"/>
            <color indexed="81"/>
            <rFont val="Cambria"/>
            <family val="1"/>
          </rPr>
          <t xml:space="preserve">If any 1 of 3 products are &gt;=50, then </t>
        </r>
        <r>
          <rPr>
            <b/>
            <sz val="11"/>
            <color indexed="81"/>
            <rFont val="Cambria"/>
            <family val="1"/>
          </rPr>
          <t>Applicable</t>
        </r>
        <r>
          <rPr>
            <sz val="11"/>
            <color indexed="81"/>
            <rFont val="Cambria"/>
            <family val="1"/>
          </rPr>
          <t xml:space="preserve"> for Bonus, otherwise </t>
        </r>
        <r>
          <rPr>
            <b/>
            <sz val="11"/>
            <color indexed="81"/>
            <rFont val="Cambria"/>
            <family val="1"/>
          </rPr>
          <t>Not Applicable</t>
        </r>
      </text>
    </comment>
  </commentList>
</comments>
</file>

<file path=xl/sharedStrings.xml><?xml version="1.0" encoding="utf-8"?>
<sst xmlns="http://schemas.openxmlformats.org/spreadsheetml/2006/main" count="751" uniqueCount="267">
  <si>
    <t>Name</t>
  </si>
  <si>
    <t>Sales</t>
  </si>
  <si>
    <t>Target</t>
  </si>
  <si>
    <t>Result</t>
  </si>
  <si>
    <t>Alan</t>
  </si>
  <si>
    <t>Bob</t>
  </si>
  <si>
    <t>Carol</t>
  </si>
  <si>
    <t>John</t>
  </si>
  <si>
    <t>Sam</t>
  </si>
  <si>
    <t>Daniel</t>
  </si>
  <si>
    <t>Bonus</t>
  </si>
  <si>
    <t>Gender</t>
  </si>
  <si>
    <t>Age</t>
  </si>
  <si>
    <t>Eligibility</t>
  </si>
  <si>
    <t>F</t>
  </si>
  <si>
    <t>M</t>
  </si>
  <si>
    <t>Remark</t>
  </si>
  <si>
    <t>Student Name</t>
  </si>
  <si>
    <t>Marathi</t>
  </si>
  <si>
    <t>English</t>
  </si>
  <si>
    <t>Hindi</t>
  </si>
  <si>
    <t>Science</t>
  </si>
  <si>
    <t>Maths</t>
  </si>
  <si>
    <t>Total</t>
  </si>
  <si>
    <t>Salesman Name</t>
  </si>
  <si>
    <t>VCR(QTY)</t>
  </si>
  <si>
    <t>I-Pod(QTY)</t>
  </si>
  <si>
    <t>Mobiles(QTY)</t>
  </si>
  <si>
    <t>Ipod</t>
  </si>
  <si>
    <t>Mumbai</t>
  </si>
  <si>
    <t>MP3</t>
  </si>
  <si>
    <t>Chennai</t>
  </si>
  <si>
    <t>Banglore</t>
  </si>
  <si>
    <t>CD</t>
  </si>
  <si>
    <t>Pune</t>
  </si>
  <si>
    <t>DVD</t>
  </si>
  <si>
    <t>Digital Cam</t>
  </si>
  <si>
    <t>Sales (In Lakhs)</t>
  </si>
  <si>
    <t>Units Sold</t>
  </si>
  <si>
    <t>Product</t>
  </si>
  <si>
    <t>Region</t>
  </si>
  <si>
    <t>Sales Data For April 2009</t>
  </si>
  <si>
    <t>You are asked to calculate the figures.</t>
  </si>
  <si>
    <t xml:space="preserve">Management requires some information to take necessary decisions from the growth perspective. </t>
  </si>
  <si>
    <t>Following is the Monthly Sales Data For M/s. Dhuri Pvt. Ltd.</t>
  </si>
  <si>
    <t>VCR</t>
  </si>
  <si>
    <t>Andheri</t>
  </si>
  <si>
    <t>Krunal</t>
  </si>
  <si>
    <t>I-Pod</t>
  </si>
  <si>
    <t>Panvel</t>
  </si>
  <si>
    <t>Vashi</t>
  </si>
  <si>
    <t>Hasan</t>
  </si>
  <si>
    <t>Chembur</t>
  </si>
  <si>
    <t>Sachin</t>
  </si>
  <si>
    <t>Mobile</t>
  </si>
  <si>
    <t>Kurla</t>
  </si>
  <si>
    <t>Bhushan</t>
  </si>
  <si>
    <t>Juhu</t>
  </si>
  <si>
    <t>Pankaj</t>
  </si>
  <si>
    <t>Microwave</t>
  </si>
  <si>
    <t>Bandra</t>
  </si>
  <si>
    <t>Ritesh</t>
  </si>
  <si>
    <t>Deepak</t>
  </si>
  <si>
    <t>Dadar</t>
  </si>
  <si>
    <t>Himanshu</t>
  </si>
  <si>
    <t>Total Sales</t>
  </si>
  <si>
    <t>Area</t>
  </si>
  <si>
    <t>Salesman</t>
  </si>
  <si>
    <t>Hello</t>
  </si>
  <si>
    <t>Count</t>
  </si>
  <si>
    <t>Entries To Be Counted</t>
  </si>
  <si>
    <t>Type the name of the item to count.</t>
  </si>
  <si>
    <t>How many items cost £100 or above.</t>
  </si>
  <si>
    <t>How many Tyres have been bought.</t>
  </si>
  <si>
    <t>How many Brake Shoes Have been bought.</t>
  </si>
  <si>
    <t>Clutch</t>
  </si>
  <si>
    <t>Tyres</t>
  </si>
  <si>
    <t>Window</t>
  </si>
  <si>
    <t>Service</t>
  </si>
  <si>
    <t>Brakes</t>
  </si>
  <si>
    <t>Cost</t>
  </si>
  <si>
    <t>Date</t>
  </si>
  <si>
    <t>Item</t>
  </si>
  <si>
    <t xml:space="preserve"> =CONCATENATE(D9,", ",C9)</t>
  </si>
  <si>
    <t>Davies</t>
  </si>
  <si>
    <t xml:space="preserve"> =CONCATENATE(D8,", ",C8)</t>
  </si>
  <si>
    <t>Williams</t>
  </si>
  <si>
    <t xml:space="preserve"> =CONCATENATE(C7," ",D7)</t>
  </si>
  <si>
    <t>Jones</t>
  </si>
  <si>
    <t xml:space="preserve"> =CONCATENATE(C6,D6)</t>
  </si>
  <si>
    <t xml:space="preserve"> =CONCATENATE(C5,D5)</t>
  </si>
  <si>
    <t xml:space="preserve"> =CONCATENATE(C4,D4)</t>
  </si>
  <si>
    <t>Concatenated Text</t>
  </si>
  <si>
    <t>Name 2</t>
  </si>
  <si>
    <t>Name 1</t>
  </si>
  <si>
    <t>Total of items costing £100 or above.</t>
  </si>
  <si>
    <t>Total cost of all Tyres bought.</t>
  </si>
  <si>
    <t>Total cost of all Brakes bought.</t>
  </si>
  <si>
    <t>_x0007_Hello_x0007_</t>
  </si>
  <si>
    <t>He_x0007_llo</t>
  </si>
  <si>
    <t>Clean Text</t>
  </si>
  <si>
    <t>Dirty Text</t>
  </si>
  <si>
    <t>Average Sales For Each City</t>
  </si>
  <si>
    <t>Bulb</t>
  </si>
  <si>
    <t>Wattage</t>
  </si>
  <si>
    <t>The average Unit Cost of a Bulb equal to a particular Wattage.</t>
  </si>
  <si>
    <t>Example-3</t>
  </si>
  <si>
    <t>Horizon</t>
  </si>
  <si>
    <t>Brand</t>
  </si>
  <si>
    <t>The average Unit Cost of a particular Product of a particular Brand.</t>
  </si>
  <si>
    <t>Example-2</t>
  </si>
  <si>
    <t>sunbeam</t>
  </si>
  <si>
    <t xml:space="preserve">Type the brand name : </t>
  </si>
  <si>
    <t>To calculate the Average cost of a particular Brand of bulb.</t>
  </si>
  <si>
    <t>Example-1</t>
  </si>
  <si>
    <t>Sunbeam</t>
  </si>
  <si>
    <t>unknown</t>
  </si>
  <si>
    <t>Neon</t>
  </si>
  <si>
    <t>Other</t>
  </si>
  <si>
    <t>Spot</t>
  </si>
  <si>
    <t>Value Of Stock</t>
  </si>
  <si>
    <t>Boxes In Stock</t>
  </si>
  <si>
    <t>Box Quantity</t>
  </si>
  <si>
    <t>Unit Cost</t>
  </si>
  <si>
    <t>Life Hours</t>
  </si>
  <si>
    <t>Total Sales for CD and MP3 in Mumbai</t>
  </si>
  <si>
    <t>Total Sales for the Mumbai</t>
  </si>
  <si>
    <t xml:space="preserve">Total stock value is : </t>
  </si>
  <si>
    <t>The total Value Of Stock of a particular Product of a particular Brand.</t>
  </si>
  <si>
    <t>To calculate the total Value Of Stock of a particular Brand of bulb.</t>
  </si>
  <si>
    <t>Fred</t>
  </si>
  <si>
    <t xml:space="preserve">Value : </t>
  </si>
  <si>
    <t>Eric</t>
  </si>
  <si>
    <t>Type a name :</t>
  </si>
  <si>
    <t>David</t>
  </si>
  <si>
    <t>RangeToPickFrom</t>
  </si>
  <si>
    <t>RangeToLookIn</t>
  </si>
  <si>
    <r>
      <t>The Feb</t>
    </r>
    <r>
      <rPr>
        <b/>
        <sz val="11"/>
        <color indexed="9"/>
        <rFont val="Calibri"/>
        <family val="2"/>
      </rPr>
      <t xml:space="preserve"> value for this person is : </t>
    </r>
  </si>
  <si>
    <t>Type a Name in this cell :</t>
  </si>
  <si>
    <t>Gail</t>
  </si>
  <si>
    <t>Francis</t>
  </si>
  <si>
    <t>Mar</t>
  </si>
  <si>
    <t>Feb</t>
  </si>
  <si>
    <t>Jan</t>
  </si>
  <si>
    <t>Prod4</t>
  </si>
  <si>
    <t>Prod3</t>
  </si>
  <si>
    <t>Prod2</t>
  </si>
  <si>
    <t>Prod1</t>
  </si>
  <si>
    <t>Sales of Product Sold on particular Dates</t>
  </si>
  <si>
    <t>Glass</t>
  </si>
  <si>
    <t>Wood</t>
  </si>
  <si>
    <t>Brick</t>
  </si>
  <si>
    <t>Unit Cost Table</t>
  </si>
  <si>
    <t>Units</t>
  </si>
  <si>
    <t>Orders Table</t>
  </si>
  <si>
    <t xml:space="preserve">The result is : </t>
  </si>
  <si>
    <t xml:space="preserve">Which column needs to be picked out : </t>
  </si>
  <si>
    <t xml:space="preserve">Type a month to look for : </t>
  </si>
  <si>
    <t xml:space="preserve">Which row needs to be picked out : </t>
  </si>
  <si>
    <t>Amount</t>
  </si>
  <si>
    <r>
      <t xml:space="preserve">Use criteria range </t>
    </r>
    <r>
      <rPr>
        <b/>
        <sz val="10"/>
        <rFont val="Arial"/>
        <family val="2"/>
      </rPr>
      <t>F1:H2</t>
    </r>
  </si>
  <si>
    <t xml:space="preserve">to find records that </t>
  </si>
  <si>
    <t>meet ALL THREE criteria</t>
  </si>
  <si>
    <t>Customer</t>
  </si>
  <si>
    <t>MegaMart</t>
  </si>
  <si>
    <t>Cookies</t>
  </si>
  <si>
    <t>&gt;500</t>
  </si>
  <si>
    <r>
      <t xml:space="preserve">Use criteria range </t>
    </r>
    <r>
      <rPr>
        <b/>
        <sz val="10"/>
        <rFont val="Arial"/>
        <family val="2"/>
      </rPr>
      <t>J1:L4</t>
    </r>
  </si>
  <si>
    <t>meet AT LEAST ONE of the criteria</t>
  </si>
  <si>
    <t>Ice</t>
  </si>
  <si>
    <t>FoodMart</t>
  </si>
  <si>
    <t>Produce</t>
  </si>
  <si>
    <t>Milk</t>
  </si>
  <si>
    <t>Bread</t>
  </si>
  <si>
    <t>Ice Cream</t>
  </si>
  <si>
    <t>Sony</t>
  </si>
  <si>
    <t>Maddy</t>
  </si>
  <si>
    <t>Raj</t>
  </si>
  <si>
    <t>Rohan</t>
  </si>
  <si>
    <t>Guddi</t>
  </si>
  <si>
    <t>Priya</t>
  </si>
  <si>
    <t>Sonam</t>
  </si>
  <si>
    <t>Diya</t>
  </si>
  <si>
    <t>Rahul</t>
  </si>
  <si>
    <t>Amar</t>
  </si>
  <si>
    <t>Prem</t>
  </si>
  <si>
    <t>Ritu</t>
  </si>
  <si>
    <t>Bonus Details</t>
  </si>
  <si>
    <t>Employee Bonus</t>
  </si>
  <si>
    <t>Destination</t>
  </si>
  <si>
    <t>Rail</t>
  </si>
  <si>
    <t>Road</t>
  </si>
  <si>
    <t>Air</t>
  </si>
  <si>
    <t>Agra</t>
  </si>
  <si>
    <t>Delhi</t>
  </si>
  <si>
    <t>Madras</t>
  </si>
  <si>
    <t>Mode</t>
  </si>
  <si>
    <t>Following are Different destination available to visit in India</t>
  </si>
  <si>
    <t>Accordingly, to travel their, different modes are available along with their prices.</t>
  </si>
  <si>
    <t>We need to create a System where used will input the destination city, and select the mode of travel</t>
  </si>
  <si>
    <t>On the basis of selection, he gets the Fare amount</t>
  </si>
  <si>
    <t>No. of Years</t>
  </si>
  <si>
    <t>Monthly Payment</t>
  </si>
  <si>
    <t>PMT</t>
  </si>
  <si>
    <t>PPMT</t>
  </si>
  <si>
    <t>IPMT</t>
  </si>
  <si>
    <t>pa</t>
  </si>
  <si>
    <t>Rate of interest</t>
  </si>
  <si>
    <t>int</t>
  </si>
  <si>
    <t>region</t>
  </si>
  <si>
    <t>rakesh</t>
  </si>
  <si>
    <t xml:space="preserve">name </t>
  </si>
  <si>
    <t>dept</t>
  </si>
  <si>
    <t>manager</t>
  </si>
  <si>
    <t>salary</t>
  </si>
  <si>
    <t>raj</t>
  </si>
  <si>
    <t>rajesh</t>
  </si>
  <si>
    <t>ram</t>
  </si>
  <si>
    <t>ramesh</t>
  </si>
  <si>
    <t>sales</t>
  </si>
  <si>
    <t>marketing</t>
  </si>
  <si>
    <t xml:space="preserve">jeff </t>
  </si>
  <si>
    <t>hardy</t>
  </si>
  <si>
    <t>Grand Total</t>
  </si>
  <si>
    <t>rajesh Total</t>
  </si>
  <si>
    <t>ram Total</t>
  </si>
  <si>
    <t>Sum of salary</t>
  </si>
  <si>
    <t>Data</t>
  </si>
  <si>
    <t>Average of salary2</t>
  </si>
  <si>
    <t>GHGJH</t>
  </si>
  <si>
    <t xml:space="preserve">`  </t>
  </si>
  <si>
    <t>Loan Amount</t>
  </si>
  <si>
    <t xml:space="preserve"> </t>
  </si>
  <si>
    <t>ENTRIES TO BE COUNTED</t>
  </si>
  <si>
    <t>COUNT</t>
  </si>
  <si>
    <t>*</t>
  </si>
  <si>
    <t>21/30</t>
  </si>
  <si>
    <t>GRFEHY</t>
  </si>
  <si>
    <t>T5HR##</t>
  </si>
  <si>
    <t>*20</t>
  </si>
  <si>
    <t>RTGWR</t>
  </si>
  <si>
    <t>####</t>
  </si>
  <si>
    <t>^*%4^$</t>
  </si>
  <si>
    <t>Bhushan Total</t>
  </si>
  <si>
    <t>Deepak Total</t>
  </si>
  <si>
    <t>Hasan Total</t>
  </si>
  <si>
    <t>Himanshu Total</t>
  </si>
  <si>
    <t>Krunal Total</t>
  </si>
  <si>
    <t>Pankaj Total</t>
  </si>
  <si>
    <t>Ritesh Total</t>
  </si>
  <si>
    <t>Sachin Total</t>
  </si>
  <si>
    <t>Kurla Total</t>
  </si>
  <si>
    <t>Dadar Total</t>
  </si>
  <si>
    <t>Vashi Total</t>
  </si>
  <si>
    <t>Chembur Total</t>
  </si>
  <si>
    <t>Andheri Total</t>
  </si>
  <si>
    <t>Panvel Total</t>
  </si>
  <si>
    <t>Juhu Total</t>
  </si>
  <si>
    <t>Bandra Total</t>
  </si>
  <si>
    <t>Sum of Total Sales</t>
  </si>
  <si>
    <t>MAR</t>
  </si>
  <si>
    <t>qty</t>
  </si>
  <si>
    <t>service</t>
  </si>
  <si>
    <t>brakes</t>
  </si>
  <si>
    <t>y</t>
  </si>
  <si>
    <t>madras</t>
  </si>
  <si>
    <t>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</si>
</sst>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₹&quot;\ #,##0.00;[Red]&quot;₹&quot;\ \-#,##0.00"/>
    <numFmt numFmtId="165" formatCode="&quot;£&quot;#,##0.00_);[Red]\(&quot;£&quot;#,##0.00\)"/>
    <numFmt numFmtId="166" formatCode="&quot;£&quot;#,##0_);[Red]\(&quot;£&quot;#,##0\)"/>
    <numFmt numFmtId="167" formatCode="&quot;₹&quot;\ #,##0.00"/>
    <numFmt numFmtId="168" formatCode="_ [$₹-4009]\ * #,##0.00_ ;_ [$₹-4009]\ * \-#,##0.00_ ;_ [$₹-4009]\ * &quot;-&quot;??_ ;_ @_ "/>
    <numFmt numFmtId="169" formatCode="_-[$£-809]* #,##0.00_-;\-[$£-809]* #,##0.00_-;_-[$£-809]* &quot;-&quot;??_-;_-@_-"/>
    <numFmt numFmtId="170" formatCode="_-[$£-809]* #,##0_-;\-[$£-809]* #,##0_-;_-[$£-809]* &quot;-&quot;??_-;_-@_-"/>
  </numFmts>
  <fonts count="7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indexed="8"/>
      <name val="Arial"/>
      <family val="2"/>
    </font>
    <font>
      <b/>
      <sz val="11"/>
      <color indexed="9"/>
      <name val="Calibri"/>
      <family val="2"/>
    </font>
    <font>
      <b/>
      <sz val="8"/>
      <color indexed="81"/>
      <name val="Tahoma"/>
      <family val="2"/>
    </font>
    <font>
      <sz val="11"/>
      <color indexed="81"/>
      <name val="Cambria"/>
      <family val="1"/>
    </font>
    <font>
      <b/>
      <sz val="11"/>
      <color indexed="81"/>
      <name val="Cambria"/>
      <family val="1"/>
    </font>
    <font>
      <sz val="12"/>
      <name val="Arial"/>
      <family val="2"/>
    </font>
    <font>
      <sz val="11"/>
      <color indexed="8"/>
      <name val="Calibri"/>
      <family val="2"/>
    </font>
    <font>
      <sz val="10"/>
      <color indexed="20"/>
      <name val="Arial"/>
      <family val="2"/>
    </font>
    <font>
      <b/>
      <sz val="10"/>
      <color indexed="12"/>
      <name val="Arial"/>
      <family val="2"/>
    </font>
    <font>
      <b/>
      <sz val="10"/>
      <color indexed="20"/>
      <name val="Arial"/>
      <family val="2"/>
    </font>
    <font>
      <sz val="10"/>
      <color indexed="12"/>
      <name val="Arial"/>
      <family val="2"/>
    </font>
    <font>
      <sz val="10"/>
      <color indexed="14"/>
      <name val="Arial"/>
      <family val="2"/>
    </font>
    <font>
      <sz val="10"/>
      <color indexed="17"/>
      <name val="Arial"/>
      <family val="2"/>
    </font>
    <font>
      <sz val="12"/>
      <color indexed="8"/>
      <name val="Calibri"/>
      <family val="2"/>
    </font>
    <font>
      <sz val="11"/>
      <color indexed="9"/>
      <name val="Calibri"/>
      <family val="2"/>
    </font>
    <font>
      <sz val="12"/>
      <color indexed="9"/>
      <name val="Calibri"/>
      <family val="2"/>
    </font>
    <font>
      <sz val="11"/>
      <color indexed="20"/>
      <name val="Calibri"/>
      <family val="2"/>
    </font>
    <font>
      <sz val="12"/>
      <color indexed="20"/>
      <name val="Calibri"/>
      <family val="2"/>
    </font>
    <font>
      <b/>
      <sz val="11"/>
      <color indexed="52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color indexed="9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sz val="11"/>
      <color indexed="17"/>
      <name val="Calibri"/>
      <family val="2"/>
    </font>
    <font>
      <sz val="12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color indexed="62"/>
      <name val="Calibri"/>
      <family val="2"/>
    </font>
    <font>
      <sz val="11"/>
      <color indexed="52"/>
      <name val="Calibri"/>
      <family val="2"/>
    </font>
    <font>
      <sz val="12"/>
      <color indexed="52"/>
      <name val="Calibri"/>
      <family val="2"/>
    </font>
    <font>
      <sz val="11"/>
      <color indexed="60"/>
      <name val="Calibri"/>
      <family val="2"/>
    </font>
    <font>
      <sz val="12"/>
      <color indexed="60"/>
      <name val="Calibri"/>
      <family val="2"/>
    </font>
    <font>
      <b/>
      <sz val="11"/>
      <color indexed="63"/>
      <name val="Calibri"/>
      <family val="2"/>
    </font>
    <font>
      <b/>
      <sz val="12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  <font>
      <sz val="12"/>
      <color indexed="10"/>
      <name val="Calibri"/>
      <family val="2"/>
    </font>
    <font>
      <b/>
      <sz val="16"/>
      <color indexed="9"/>
      <name val="Arial"/>
      <family val="2"/>
    </font>
    <font>
      <b/>
      <sz val="16"/>
      <color indexed="8"/>
      <name val="Arial"/>
      <family val="2"/>
    </font>
    <font>
      <b/>
      <sz val="16"/>
      <color indexed="22"/>
      <name val="Calibri"/>
      <family val="2"/>
    </font>
    <font>
      <b/>
      <sz val="18"/>
      <color indexed="9"/>
      <name val="Arial"/>
      <family val="2"/>
    </font>
    <font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3"/>
      <color theme="0"/>
      <name val="Arial"/>
      <family val="2"/>
    </font>
    <font>
      <b/>
      <sz val="14"/>
      <color theme="0"/>
      <name val="Arial"/>
      <family val="2"/>
    </font>
    <font>
      <sz val="14"/>
      <color theme="1"/>
      <name val="Calibri"/>
      <family val="2"/>
      <scheme val="minor"/>
    </font>
    <font>
      <b/>
      <sz val="14"/>
      <color theme="0"/>
      <name val="Cambria"/>
      <family val="1"/>
      <scheme val="major"/>
    </font>
    <font>
      <b/>
      <sz val="10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1"/>
      <name val="Calibri"/>
      <family val="2"/>
      <scheme val="min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4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51"/>
      </patternFill>
    </fill>
    <fill>
      <patternFill patternType="solid">
        <fgColor theme="4"/>
        <bgColor indexed="51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21"/>
      </patternFill>
    </fill>
    <fill>
      <patternFill patternType="solid">
        <fgColor theme="4"/>
        <bgColor indexed="59"/>
      </patternFill>
    </fill>
    <fill>
      <patternFill patternType="solid">
        <fgColor theme="3" tint="0.79998168889431442"/>
        <bgColor indexed="23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26"/>
      </patternFill>
    </fill>
  </fills>
  <borders count="7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 style="thin">
        <color indexed="6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double">
        <color indexed="1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9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570">
    <xf numFmtId="0" fontId="0" fillId="0" borderId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44" fontId="5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1" fillId="20" borderId="0" applyNumberFormat="0" applyFon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6" fillId="0" borderId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6" fillId="26" borderId="0" applyNumberFormat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24" borderId="0" applyNumberFormat="0" applyFont="0" applyBorder="0" applyAlignment="0" applyProtection="0"/>
  </cellStyleXfs>
  <cellXfs count="212">
    <xf numFmtId="0" fontId="0" fillId="0" borderId="0" xfId="0"/>
    <xf numFmtId="0" fontId="56" fillId="28" borderId="10" xfId="408" applyFont="1" applyFill="1" applyBorder="1" applyAlignment="1">
      <alignment horizontal="left"/>
    </xf>
    <xf numFmtId="0" fontId="56" fillId="29" borderId="0" xfId="491" applyFont="1" applyFill="1"/>
    <xf numFmtId="0" fontId="57" fillId="28" borderId="0" xfId="0" applyFont="1" applyFill="1"/>
    <xf numFmtId="0" fontId="56" fillId="28" borderId="10" xfId="569" applyFont="1" applyFill="1" applyBorder="1" applyAlignment="1">
      <alignment horizontal="left"/>
    </xf>
    <xf numFmtId="0" fontId="54" fillId="28" borderId="10" xfId="0" applyFont="1" applyFill="1" applyBorder="1"/>
    <xf numFmtId="0" fontId="56" fillId="28" borderId="11" xfId="569" applyFont="1" applyFill="1" applyBorder="1" applyAlignment="1">
      <alignment horizontal="left"/>
    </xf>
    <xf numFmtId="0" fontId="58" fillId="30" borderId="10" xfId="569" applyFont="1" applyFill="1" applyBorder="1" applyAlignment="1">
      <alignment horizontal="left"/>
    </xf>
    <xf numFmtId="0" fontId="59" fillId="30" borderId="10" xfId="0" applyFont="1" applyFill="1" applyBorder="1"/>
    <xf numFmtId="0" fontId="60" fillId="30" borderId="10" xfId="0" applyFont="1" applyFill="1" applyBorder="1"/>
    <xf numFmtId="0" fontId="61" fillId="30" borderId="10" xfId="0" applyFont="1" applyFill="1" applyBorder="1"/>
    <xf numFmtId="0" fontId="11" fillId="30" borderId="10" xfId="491" applyFont="1" applyFill="1" applyBorder="1" applyAlignment="1">
      <alignment horizontal="center"/>
    </xf>
    <xf numFmtId="0" fontId="12" fillId="0" borderId="0" xfId="491" applyFont="1"/>
    <xf numFmtId="0" fontId="62" fillId="31" borderId="10" xfId="491" applyFont="1" applyFill="1" applyBorder="1" applyAlignment="1">
      <alignment horizontal="center"/>
    </xf>
    <xf numFmtId="0" fontId="63" fillId="0" borderId="0" xfId="491" applyFont="1" applyFill="1" applyBorder="1" applyAlignment="1">
      <alignment vertical="center"/>
    </xf>
    <xf numFmtId="0" fontId="64" fillId="0" borderId="0" xfId="0" applyFont="1"/>
    <xf numFmtId="0" fontId="65" fillId="0" borderId="0" xfId="0" applyFont="1" applyFill="1"/>
    <xf numFmtId="0" fontId="65" fillId="0" borderId="0" xfId="491" applyFont="1" applyFill="1"/>
    <xf numFmtId="0" fontId="65" fillId="29" borderId="0" xfId="491" applyFont="1" applyFill="1"/>
    <xf numFmtId="0" fontId="3" fillId="30" borderId="10" xfId="569" applyFont="1" applyFill="1" applyBorder="1" applyAlignment="1">
      <alignment horizontal="left"/>
    </xf>
    <xf numFmtId="0" fontId="2" fillId="30" borderId="10" xfId="569" applyFont="1" applyFill="1" applyBorder="1" applyAlignment="1">
      <alignment horizontal="left"/>
    </xf>
    <xf numFmtId="0" fontId="0" fillId="30" borderId="10" xfId="0" applyFill="1" applyBorder="1" applyAlignment="1">
      <alignment horizontal="left"/>
    </xf>
    <xf numFmtId="0" fontId="66" fillId="30" borderId="10" xfId="569" applyFont="1" applyFill="1" applyBorder="1" applyAlignment="1">
      <alignment horizontal="left"/>
    </xf>
    <xf numFmtId="0" fontId="61" fillId="30" borderId="10" xfId="0" applyFont="1" applyFill="1" applyBorder="1" applyAlignment="1">
      <alignment horizontal="left"/>
    </xf>
    <xf numFmtId="0" fontId="59" fillId="30" borderId="10" xfId="491" applyFont="1" applyFill="1" applyBorder="1" applyAlignment="1">
      <alignment horizontal="center"/>
    </xf>
    <xf numFmtId="0" fontId="59" fillId="30" borderId="10" xfId="491" applyFont="1" applyFill="1" applyBorder="1"/>
    <xf numFmtId="0" fontId="0" fillId="32" borderId="10" xfId="0" applyFill="1" applyBorder="1"/>
    <xf numFmtId="0" fontId="0" fillId="32" borderId="12" xfId="0" applyFill="1" applyBorder="1"/>
    <xf numFmtId="0" fontId="55" fillId="33" borderId="13" xfId="0" applyFont="1" applyFill="1" applyBorder="1"/>
    <xf numFmtId="0" fontId="55" fillId="33" borderId="14" xfId="0" applyFont="1" applyFill="1" applyBorder="1"/>
    <xf numFmtId="0" fontId="55" fillId="33" borderId="15" xfId="0" applyFont="1" applyFill="1" applyBorder="1"/>
    <xf numFmtId="0" fontId="1" fillId="30" borderId="10" xfId="569" applyFont="1" applyFill="1" applyBorder="1" applyAlignment="1">
      <alignment horizontal="center"/>
    </xf>
    <xf numFmtId="20" fontId="1" fillId="30" borderId="10" xfId="569" applyNumberFormat="1" applyFont="1" applyFill="1" applyBorder="1" applyAlignment="1">
      <alignment horizontal="center"/>
    </xf>
    <xf numFmtId="15" fontId="1" fillId="30" borderId="10" xfId="569" applyNumberFormat="1" applyFont="1" applyFill="1" applyBorder="1" applyAlignment="1">
      <alignment horizontal="center"/>
    </xf>
    <xf numFmtId="0" fontId="56" fillId="28" borderId="10" xfId="408" applyFont="1" applyFill="1" applyBorder="1" applyAlignment="1">
      <alignment horizontal="center"/>
    </xf>
    <xf numFmtId="0" fontId="1" fillId="0" borderId="0" xfId="0" applyFont="1"/>
    <xf numFmtId="0" fontId="1" fillId="30" borderId="10" xfId="569" applyFont="1" applyFill="1" applyBorder="1" applyAlignment="1">
      <alignment horizontal="left"/>
    </xf>
    <xf numFmtId="0" fontId="1" fillId="30" borderId="10" xfId="569" applyFont="1" applyFill="1" applyBorder="1"/>
    <xf numFmtId="0" fontId="55" fillId="0" borderId="0" xfId="0" applyFont="1"/>
    <xf numFmtId="0" fontId="0" fillId="30" borderId="16" xfId="0" applyFill="1" applyBorder="1"/>
    <xf numFmtId="0" fontId="55" fillId="30" borderId="0" xfId="0" applyFont="1" applyFill="1"/>
    <xf numFmtId="0" fontId="66" fillId="30" borderId="0" xfId="491" applyFont="1" applyFill="1"/>
    <xf numFmtId="0" fontId="67" fillId="31" borderId="0" xfId="491" applyFont="1" applyFill="1" applyAlignment="1">
      <alignment horizontal="center"/>
    </xf>
    <xf numFmtId="2" fontId="0" fillId="30" borderId="16" xfId="0" applyNumberFormat="1" applyFill="1" applyBorder="1"/>
    <xf numFmtId="0" fontId="13" fillId="30" borderId="17" xfId="569" applyFont="1" applyFill="1" applyBorder="1" applyAlignment="1">
      <alignment horizontal="center"/>
    </xf>
    <xf numFmtId="0" fontId="13" fillId="30" borderId="18" xfId="569" applyFont="1" applyFill="1" applyBorder="1" applyAlignment="1">
      <alignment horizontal="center"/>
    </xf>
    <xf numFmtId="0" fontId="56" fillId="28" borderId="19" xfId="408" applyFont="1" applyFill="1" applyBorder="1" applyAlignment="1">
      <alignment horizontal="center"/>
    </xf>
    <xf numFmtId="0" fontId="56" fillId="28" borderId="20" xfId="408" applyFont="1" applyFill="1" applyBorder="1" applyAlignment="1">
      <alignment horizontal="center"/>
    </xf>
    <xf numFmtId="0" fontId="2" fillId="0" borderId="0" xfId="569" applyFont="1" applyFill="1" applyBorder="1" applyAlignment="1">
      <alignment horizontal="left"/>
    </xf>
    <xf numFmtId="0" fontId="55" fillId="30" borderId="16" xfId="0" applyFont="1" applyFill="1" applyBorder="1"/>
    <xf numFmtId="0" fontId="0" fillId="30" borderId="0" xfId="0" applyFill="1"/>
    <xf numFmtId="0" fontId="55" fillId="30" borderId="0" xfId="0" applyFont="1" applyFill="1" applyAlignment="1">
      <alignment horizontal="left"/>
    </xf>
    <xf numFmtId="0" fontId="0" fillId="0" borderId="0" xfId="0" applyFill="1"/>
    <xf numFmtId="165" fontId="14" fillId="0" borderId="0" xfId="569" applyNumberFormat="1" applyFont="1" applyFill="1" applyBorder="1" applyAlignment="1">
      <alignment horizontal="center"/>
    </xf>
    <xf numFmtId="0" fontId="55" fillId="0" borderId="0" xfId="0" applyFont="1" applyFill="1"/>
    <xf numFmtId="0" fontId="55" fillId="0" borderId="0" xfId="0" applyFont="1" applyFill="1" applyBorder="1" applyAlignment="1">
      <alignment horizontal="left"/>
    </xf>
    <xf numFmtId="165" fontId="14" fillId="30" borderId="16" xfId="569" applyNumberFormat="1" applyFont="1" applyFill="1" applyBorder="1" applyAlignment="1">
      <alignment horizontal="center"/>
    </xf>
    <xf numFmtId="0" fontId="55" fillId="30" borderId="0" xfId="0" applyFont="1" applyFill="1" applyBorder="1" applyAlignment="1">
      <alignment horizontal="left"/>
    </xf>
    <xf numFmtId="0" fontId="15" fillId="30" borderId="21" xfId="569" applyFont="1" applyFill="1" applyBorder="1" applyAlignment="1">
      <alignment horizontal="center"/>
    </xf>
    <xf numFmtId="0" fontId="1" fillId="28" borderId="22" xfId="408" applyFont="1" applyFill="1" applyBorder="1" applyAlignment="1">
      <alignment horizontal="center"/>
    </xf>
    <xf numFmtId="165" fontId="16" fillId="30" borderId="23" xfId="569" applyNumberFormat="1" applyFont="1" applyFill="1" applyBorder="1" applyAlignment="1">
      <alignment horizontal="right"/>
    </xf>
    <xf numFmtId="0" fontId="13" fillId="30" borderId="24" xfId="569" applyFont="1" applyFill="1" applyBorder="1" applyAlignment="1">
      <alignment horizontal="center"/>
    </xf>
    <xf numFmtId="165" fontId="13" fillId="30" borderId="24" xfId="569" applyNumberFormat="1" applyFont="1" applyFill="1" applyBorder="1" applyAlignment="1">
      <alignment horizontal="center"/>
    </xf>
    <xf numFmtId="0" fontId="13" fillId="30" borderId="25" xfId="569" applyFont="1" applyFill="1" applyBorder="1" applyAlignment="1">
      <alignment horizontal="center"/>
    </xf>
    <xf numFmtId="0" fontId="13" fillId="30" borderId="10" xfId="569" applyFont="1" applyFill="1" applyBorder="1" applyAlignment="1">
      <alignment horizontal="center"/>
    </xf>
    <xf numFmtId="165" fontId="13" fillId="30" borderId="10" xfId="569" applyNumberFormat="1" applyFont="1" applyFill="1" applyBorder="1" applyAlignment="1">
      <alignment horizontal="center"/>
    </xf>
    <xf numFmtId="0" fontId="13" fillId="30" borderId="26" xfId="569" applyFont="1" applyFill="1" applyBorder="1" applyAlignment="1">
      <alignment horizontal="center"/>
    </xf>
    <xf numFmtId="0" fontId="2" fillId="28" borderId="27" xfId="408" applyFont="1" applyFill="1" applyBorder="1" applyAlignment="1">
      <alignment horizontal="center" wrapText="1"/>
    </xf>
    <xf numFmtId="0" fontId="2" fillId="28" borderId="28" xfId="408" applyFont="1" applyFill="1" applyBorder="1" applyAlignment="1">
      <alignment horizontal="center" wrapText="1"/>
    </xf>
    <xf numFmtId="0" fontId="2" fillId="28" borderId="29" xfId="408" applyFont="1" applyFill="1" applyBorder="1" applyAlignment="1">
      <alignment horizontal="center" wrapText="1"/>
    </xf>
    <xf numFmtId="0" fontId="0" fillId="30" borderId="0" xfId="0" applyFill="1" applyBorder="1" applyAlignment="1">
      <alignment horizontal="center" vertical="center" wrapText="1"/>
    </xf>
    <xf numFmtId="0" fontId="68" fillId="30" borderId="0" xfId="0" applyFont="1" applyFill="1"/>
    <xf numFmtId="0" fontId="1" fillId="30" borderId="30" xfId="569" applyFont="1" applyFill="1" applyBorder="1" applyAlignment="1">
      <alignment horizontal="center"/>
    </xf>
    <xf numFmtId="0" fontId="1" fillId="30" borderId="31" xfId="569" applyFont="1" applyFill="1" applyBorder="1" applyAlignment="1">
      <alignment horizontal="center"/>
    </xf>
    <xf numFmtId="0" fontId="1" fillId="30" borderId="32" xfId="569" applyFont="1" applyFill="1" applyBorder="1" applyAlignment="1">
      <alignment horizontal="center"/>
    </xf>
    <xf numFmtId="0" fontId="1" fillId="30" borderId="33" xfId="569" applyFont="1" applyFill="1" applyBorder="1" applyAlignment="1">
      <alignment horizontal="center"/>
    </xf>
    <xf numFmtId="0" fontId="1" fillId="30" borderId="34" xfId="569" applyFont="1" applyFill="1" applyBorder="1" applyAlignment="1">
      <alignment horizontal="center"/>
    </xf>
    <xf numFmtId="0" fontId="1" fillId="30" borderId="35" xfId="569" applyFont="1" applyFill="1" applyBorder="1" applyAlignment="1">
      <alignment horizontal="center"/>
    </xf>
    <xf numFmtId="0" fontId="56" fillId="28" borderId="0" xfId="408" applyFont="1" applyFill="1" applyAlignment="1">
      <alignment horizontal="center"/>
    </xf>
    <xf numFmtId="0" fontId="69" fillId="30" borderId="36" xfId="569" applyFont="1" applyFill="1" applyBorder="1" applyAlignment="1">
      <alignment horizontal="center"/>
    </xf>
    <xf numFmtId="0" fontId="70" fillId="30" borderId="37" xfId="569" applyFont="1" applyFill="1" applyBorder="1" applyAlignment="1">
      <alignment horizontal="center"/>
    </xf>
    <xf numFmtId="0" fontId="69" fillId="30" borderId="37" xfId="569" applyFont="1" applyFill="1" applyBorder="1" applyAlignment="1">
      <alignment horizontal="center"/>
    </xf>
    <xf numFmtId="0" fontId="70" fillId="30" borderId="38" xfId="569" applyFont="1" applyFill="1" applyBorder="1" applyAlignment="1">
      <alignment horizontal="center"/>
    </xf>
    <xf numFmtId="0" fontId="69" fillId="30" borderId="39" xfId="569" applyFont="1" applyFill="1" applyBorder="1" applyAlignment="1">
      <alignment horizontal="center"/>
    </xf>
    <xf numFmtId="0" fontId="70" fillId="30" borderId="10" xfId="569" applyFont="1" applyFill="1" applyBorder="1" applyAlignment="1">
      <alignment horizontal="center"/>
    </xf>
    <xf numFmtId="0" fontId="69" fillId="30" borderId="10" xfId="569" applyFont="1" applyFill="1" applyBorder="1" applyAlignment="1">
      <alignment horizontal="center"/>
    </xf>
    <xf numFmtId="0" fontId="70" fillId="30" borderId="40" xfId="569" applyFont="1" applyFill="1" applyBorder="1" applyAlignment="1">
      <alignment horizontal="center"/>
    </xf>
    <xf numFmtId="0" fontId="69" fillId="30" borderId="41" xfId="569" applyFont="1" applyFill="1" applyBorder="1" applyAlignment="1">
      <alignment horizontal="center"/>
    </xf>
    <xf numFmtId="0" fontId="70" fillId="30" borderId="42" xfId="569" applyFont="1" applyFill="1" applyBorder="1" applyAlignment="1">
      <alignment horizontal="center"/>
    </xf>
    <xf numFmtId="0" fontId="69" fillId="30" borderId="42" xfId="569" applyFont="1" applyFill="1" applyBorder="1" applyAlignment="1">
      <alignment horizontal="center"/>
    </xf>
    <xf numFmtId="0" fontId="70" fillId="30" borderId="43" xfId="569" applyFont="1" applyFill="1" applyBorder="1" applyAlignment="1">
      <alignment horizontal="center"/>
    </xf>
    <xf numFmtId="0" fontId="67" fillId="28" borderId="10" xfId="408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9" fillId="34" borderId="10" xfId="497" applyFont="1" applyFill="1" applyBorder="1" applyProtection="1">
      <protection locked="0"/>
    </xf>
    <xf numFmtId="15" fontId="69" fillId="34" borderId="10" xfId="497" applyNumberFormat="1" applyFont="1" applyFill="1" applyBorder="1" applyAlignment="1" applyProtection="1">
      <alignment horizontal="center"/>
      <protection locked="0"/>
    </xf>
    <xf numFmtId="0" fontId="67" fillId="35" borderId="0" xfId="497" applyFont="1" applyFill="1" applyAlignment="1" applyProtection="1">
      <alignment horizontal="center"/>
      <protection locked="0"/>
    </xf>
    <xf numFmtId="0" fontId="71" fillId="0" borderId="0" xfId="0" applyFont="1" applyFill="1" applyAlignment="1"/>
    <xf numFmtId="166" fontId="16" fillId="30" borderId="10" xfId="569" applyNumberFormat="1" applyFont="1" applyFill="1" applyBorder="1" applyAlignment="1">
      <alignment horizontal="center"/>
    </xf>
    <xf numFmtId="0" fontId="17" fillId="30" borderId="10" xfId="569" applyFont="1" applyFill="1" applyBorder="1" applyAlignment="1">
      <alignment horizontal="center"/>
    </xf>
    <xf numFmtId="0" fontId="18" fillId="30" borderId="10" xfId="569" applyFont="1" applyFill="1" applyBorder="1" applyAlignment="1">
      <alignment horizontal="center"/>
    </xf>
    <xf numFmtId="166" fontId="13" fillId="30" borderId="44" xfId="569" applyNumberFormat="1" applyFont="1" applyFill="1" applyBorder="1" applyAlignment="1">
      <alignment horizontal="center"/>
    </xf>
    <xf numFmtId="0" fontId="56" fillId="28" borderId="25" xfId="408" applyFont="1" applyFill="1" applyBorder="1" applyAlignment="1">
      <alignment horizontal="center"/>
    </xf>
    <xf numFmtId="166" fontId="13" fillId="30" borderId="23" xfId="569" applyNumberFormat="1" applyFont="1" applyFill="1" applyBorder="1" applyAlignment="1">
      <alignment horizontal="center"/>
    </xf>
    <xf numFmtId="0" fontId="56" fillId="28" borderId="26" xfId="408" applyFont="1" applyFill="1" applyBorder="1" applyAlignment="1">
      <alignment horizontal="center"/>
    </xf>
    <xf numFmtId="166" fontId="13" fillId="30" borderId="27" xfId="569" applyNumberFormat="1" applyFont="1" applyFill="1" applyBorder="1" applyAlignment="1">
      <alignment horizontal="center"/>
    </xf>
    <xf numFmtId="0" fontId="56" fillId="28" borderId="29" xfId="408" applyFont="1" applyFill="1" applyBorder="1" applyAlignment="1">
      <alignment horizontal="center"/>
    </xf>
    <xf numFmtId="0" fontId="14" fillId="30" borderId="10" xfId="569" applyFont="1" applyFill="1" applyBorder="1" applyAlignment="1">
      <alignment horizontal="center"/>
    </xf>
    <xf numFmtId="0" fontId="15" fillId="30" borderId="10" xfId="569" applyFont="1" applyFill="1" applyBorder="1" applyAlignment="1">
      <alignment horizontal="center"/>
    </xf>
    <xf numFmtId="0" fontId="0" fillId="36" borderId="45" xfId="0" applyFill="1" applyBorder="1" applyAlignment="1">
      <alignment vertical="center"/>
    </xf>
    <xf numFmtId="0" fontId="0" fillId="36" borderId="46" xfId="0" applyFill="1" applyBorder="1" applyAlignment="1">
      <alignment horizontal="right" vertical="center"/>
    </xf>
    <xf numFmtId="0" fontId="0" fillId="36" borderId="47" xfId="0" applyFill="1" applyBorder="1" applyAlignment="1">
      <alignment vertical="center"/>
    </xf>
    <xf numFmtId="0" fontId="0" fillId="36" borderId="48" xfId="0" applyFill="1" applyBorder="1" applyAlignment="1">
      <alignment horizontal="right" vertical="center"/>
    </xf>
    <xf numFmtId="0" fontId="0" fillId="36" borderId="49" xfId="0" applyFill="1" applyBorder="1" applyAlignment="1">
      <alignment vertical="center"/>
    </xf>
    <xf numFmtId="0" fontId="0" fillId="36" borderId="50" xfId="0" applyFill="1" applyBorder="1" applyAlignment="1">
      <alignment horizontal="right" vertical="center"/>
    </xf>
    <xf numFmtId="0" fontId="14" fillId="0" borderId="0" xfId="0" applyFont="1" applyFill="1" applyAlignment="1">
      <alignment horizontal="center"/>
    </xf>
    <xf numFmtId="0" fontId="0" fillId="27" borderId="10" xfId="0" applyFill="1" applyBorder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left"/>
    </xf>
    <xf numFmtId="0" fontId="0" fillId="27" borderId="10" xfId="0" applyFill="1" applyBorder="1"/>
    <xf numFmtId="0" fontId="14" fillId="0" borderId="0" xfId="0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8" fontId="0" fillId="0" borderId="0" xfId="0" applyNumberFormat="1" applyFill="1" applyAlignment="1">
      <alignment horizontal="left" vertical="center"/>
    </xf>
    <xf numFmtId="0" fontId="70" fillId="30" borderId="10" xfId="569" applyFont="1" applyFill="1" applyBorder="1" applyAlignment="1">
      <alignment horizontal="left" vertical="center"/>
    </xf>
    <xf numFmtId="0" fontId="67" fillId="28" borderId="10" xfId="408" applyFont="1" applyFill="1" applyBorder="1" applyAlignment="1">
      <alignment horizontal="left" vertical="center"/>
    </xf>
    <xf numFmtId="0" fontId="55" fillId="30" borderId="10" xfId="0" applyFont="1" applyFill="1" applyBorder="1"/>
    <xf numFmtId="0" fontId="0" fillId="30" borderId="10" xfId="0" applyFill="1" applyBorder="1"/>
    <xf numFmtId="0" fontId="55" fillId="28" borderId="10" xfId="0" applyFont="1" applyFill="1" applyBorder="1"/>
    <xf numFmtId="0" fontId="51" fillId="37" borderId="0" xfId="504" applyFont="1" applyFill="1"/>
    <xf numFmtId="0" fontId="52" fillId="37" borderId="0" xfId="504" applyFont="1" applyFill="1"/>
    <xf numFmtId="0" fontId="48" fillId="38" borderId="51" xfId="498" applyFont="1" applyFill="1" applyBorder="1"/>
    <xf numFmtId="0" fontId="49" fillId="39" borderId="51" xfId="498" applyFont="1" applyFill="1" applyBorder="1"/>
    <xf numFmtId="0" fontId="50" fillId="40" borderId="0" xfId="504" applyFont="1" applyFill="1"/>
    <xf numFmtId="0" fontId="67" fillId="28" borderId="0" xfId="0" applyFont="1" applyFill="1"/>
    <xf numFmtId="9" fontId="68" fillId="30" borderId="0" xfId="0" applyNumberFormat="1" applyFont="1" applyFill="1"/>
    <xf numFmtId="0" fontId="54" fillId="41" borderId="0" xfId="0" applyFont="1" applyFill="1" applyAlignment="1">
      <alignment horizontal="center" vertical="center"/>
    </xf>
    <xf numFmtId="8" fontId="0" fillId="30" borderId="0" xfId="0" applyNumberFormat="1" applyFill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horizontal="center"/>
    </xf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67" xfId="0" pivotButton="1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67" xfId="0" applyNumberFormat="1" applyBorder="1"/>
    <xf numFmtId="0" fontId="0" fillId="0" borderId="72" xfId="0" applyNumberFormat="1" applyBorder="1"/>
    <xf numFmtId="0" fontId="0" fillId="0" borderId="70" xfId="0" applyNumberFormat="1" applyBorder="1"/>
    <xf numFmtId="0" fontId="0" fillId="0" borderId="73" xfId="0" applyNumberFormat="1" applyBorder="1"/>
    <xf numFmtId="164" fontId="0" fillId="0" borderId="0" xfId="0" applyNumberFormat="1"/>
    <xf numFmtId="167" fontId="68" fillId="30" borderId="0" xfId="0" applyNumberFormat="1" applyFont="1" applyFill="1" applyAlignment="1">
      <alignment horizontal="center" vertical="center"/>
    </xf>
    <xf numFmtId="9" fontId="0" fillId="0" borderId="0" xfId="0" applyNumberFormat="1"/>
    <xf numFmtId="168" fontId="53" fillId="0" borderId="0" xfId="379" applyNumberFormat="1" applyFont="1"/>
    <xf numFmtId="14" fontId="0" fillId="0" borderId="0" xfId="0" applyNumberFormat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169" fontId="0" fillId="0" borderId="0" xfId="0" applyNumberFormat="1"/>
    <xf numFmtId="170" fontId="0" fillId="0" borderId="0" xfId="0" applyNumberFormat="1"/>
    <xf numFmtId="15" fontId="0" fillId="0" borderId="0" xfId="0" applyNumberFormat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2" xfId="0" pivotButton="1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7" xfId="0" applyNumberFormat="1" applyBorder="1"/>
    <xf numFmtId="0" fontId="0" fillId="0" borderId="51" xfId="0" applyNumberFormat="1" applyBorder="1"/>
    <xf numFmtId="0" fontId="0" fillId="0" borderId="0" xfId="0" applyBorder="1"/>
    <xf numFmtId="15" fontId="0" fillId="0" borderId="0" xfId="0" applyNumberFormat="1" applyBorder="1"/>
    <xf numFmtId="0" fontId="72" fillId="53" borderId="0" xfId="497" applyFont="1" applyFill="1" applyBorder="1" applyAlignment="1" applyProtection="1">
      <alignment horizontal="center"/>
      <protection hidden="1"/>
    </xf>
    <xf numFmtId="0" fontId="72" fillId="53" borderId="0" xfId="497" applyFont="1" applyFill="1" applyBorder="1" applyAlignment="1" applyProtection="1">
      <alignment horizontal="center"/>
      <protection locked="0"/>
    </xf>
    <xf numFmtId="0" fontId="0" fillId="36" borderId="0" xfId="0" applyFill="1" applyBorder="1"/>
    <xf numFmtId="0" fontId="54" fillId="28" borderId="0" xfId="0" applyFont="1" applyFill="1" applyAlignment="1">
      <alignment horizontal="center"/>
    </xf>
    <xf numFmtId="0" fontId="56" fillId="28" borderId="0" xfId="408" applyFont="1" applyFill="1" applyBorder="1" applyAlignment="1">
      <alignment horizontal="center"/>
    </xf>
    <xf numFmtId="0" fontId="56" fillId="28" borderId="58" xfId="408" applyFont="1" applyFill="1" applyBorder="1" applyAlignment="1">
      <alignment horizontal="center"/>
    </xf>
    <xf numFmtId="0" fontId="56" fillId="28" borderId="59" xfId="408" applyFont="1" applyFill="1" applyBorder="1" applyAlignment="1">
      <alignment horizontal="center"/>
    </xf>
    <xf numFmtId="0" fontId="56" fillId="28" borderId="60" xfId="408" applyFont="1" applyFill="1" applyBorder="1" applyAlignment="1">
      <alignment horizontal="center"/>
    </xf>
    <xf numFmtId="0" fontId="56" fillId="28" borderId="61" xfId="408" applyFont="1" applyFill="1" applyBorder="1" applyAlignment="1">
      <alignment horizontal="center"/>
    </xf>
    <xf numFmtId="0" fontId="54" fillId="28" borderId="61" xfId="0" applyFont="1" applyFill="1" applyBorder="1"/>
    <xf numFmtId="0" fontId="73" fillId="28" borderId="0" xfId="0" applyFont="1" applyFill="1" applyAlignment="1">
      <alignment horizontal="center"/>
    </xf>
    <xf numFmtId="0" fontId="65" fillId="28" borderId="0" xfId="0" applyFont="1" applyFill="1" applyAlignment="1">
      <alignment horizontal="center" vertical="center"/>
    </xf>
    <xf numFmtId="0" fontId="56" fillId="28" borderId="62" xfId="408" applyFont="1" applyFill="1" applyBorder="1" applyAlignment="1">
      <alignment horizontal="center"/>
    </xf>
    <xf numFmtId="0" fontId="56" fillId="28" borderId="63" xfId="408" applyFont="1" applyFill="1" applyBorder="1" applyAlignment="1">
      <alignment horizontal="center"/>
    </xf>
    <xf numFmtId="0" fontId="67" fillId="28" borderId="59" xfId="408" applyFont="1" applyFill="1" applyBorder="1" applyAlignment="1">
      <alignment horizontal="center"/>
    </xf>
    <xf numFmtId="0" fontId="67" fillId="28" borderId="60" xfId="408" applyFont="1" applyFill="1" applyBorder="1" applyAlignment="1">
      <alignment horizontal="center"/>
    </xf>
    <xf numFmtId="0" fontId="67" fillId="28" borderId="61" xfId="408" applyFont="1" applyFill="1" applyBorder="1" applyAlignment="1">
      <alignment horizontal="center"/>
    </xf>
    <xf numFmtId="0" fontId="74" fillId="28" borderId="64" xfId="0" applyFont="1" applyFill="1" applyBorder="1" applyAlignment="1">
      <alignment horizontal="center"/>
    </xf>
    <xf numFmtId="0" fontId="74" fillId="28" borderId="65" xfId="0" applyFont="1" applyFill="1" applyBorder="1" applyAlignment="1">
      <alignment horizontal="center"/>
    </xf>
    <xf numFmtId="0" fontId="74" fillId="28" borderId="66" xfId="0" applyFont="1" applyFill="1" applyBorder="1" applyAlignment="1">
      <alignment horizontal="center"/>
    </xf>
    <xf numFmtId="0" fontId="68" fillId="28" borderId="64" xfId="0" applyFont="1" applyFill="1" applyBorder="1" applyAlignment="1">
      <alignment horizontal="center"/>
    </xf>
    <xf numFmtId="0" fontId="68" fillId="28" borderId="65" xfId="0" applyFont="1" applyFill="1" applyBorder="1" applyAlignment="1">
      <alignment horizontal="center"/>
    </xf>
    <xf numFmtId="0" fontId="68" fillId="28" borderId="66" xfId="0" applyFont="1" applyFill="1" applyBorder="1" applyAlignment="1">
      <alignment horizontal="center"/>
    </xf>
    <xf numFmtId="0" fontId="2" fillId="28" borderId="64" xfId="0" applyFont="1" applyFill="1" applyBorder="1" applyAlignment="1">
      <alignment horizontal="center"/>
    </xf>
    <xf numFmtId="0" fontId="2" fillId="28" borderId="65" xfId="0" applyFont="1" applyFill="1" applyBorder="1" applyAlignment="1">
      <alignment horizontal="center"/>
    </xf>
    <xf numFmtId="0" fontId="2" fillId="28" borderId="66" xfId="0" applyFont="1" applyFill="1" applyBorder="1" applyAlignment="1">
      <alignment horizontal="center"/>
    </xf>
    <xf numFmtId="0" fontId="63" fillId="37" borderId="64" xfId="491" applyFont="1" applyFill="1" applyBorder="1" applyAlignment="1">
      <alignment horizontal="center" vertical="center"/>
    </xf>
    <xf numFmtId="0" fontId="63" fillId="37" borderId="65" xfId="491" applyFont="1" applyFill="1" applyBorder="1" applyAlignment="1">
      <alignment horizontal="center" vertical="center"/>
    </xf>
    <xf numFmtId="0" fontId="63" fillId="37" borderId="66" xfId="491" applyFont="1" applyFill="1" applyBorder="1" applyAlignment="1">
      <alignment horizontal="center" vertical="center"/>
    </xf>
    <xf numFmtId="0" fontId="0" fillId="0" borderId="65" xfId="0" applyBorder="1"/>
    <xf numFmtId="0" fontId="0" fillId="0" borderId="66" xfId="0" applyBorder="1"/>
    <xf numFmtId="0" fontId="61" fillId="30" borderId="0" xfId="0" applyFont="1" applyFill="1" applyBorder="1" applyAlignment="1">
      <alignment horizontal="center" vertical="center" wrapText="1"/>
    </xf>
  </cellXfs>
  <cellStyles count="570">
    <cellStyle name="20% - Accent1 1" xfId="1"/>
    <cellStyle name="20% - Accent1 2" xfId="2"/>
    <cellStyle name="20% - Accent1 2 2" xfId="3"/>
    <cellStyle name="20% - Accent1 2 2 2" xfId="4"/>
    <cellStyle name="20% - Accent1 2 2 2 2" xfId="5"/>
    <cellStyle name="20% - Accent1 2 2 2 3" xfId="6"/>
    <cellStyle name="20% - Accent1 2 2 3" xfId="7"/>
    <cellStyle name="20% - Accent1 2 3" xfId="8"/>
    <cellStyle name="20% - Accent1 2 4" xfId="9"/>
    <cellStyle name="20% - Accent1 2 5" xfId="10"/>
    <cellStyle name="20% - Accent1 3" xfId="11"/>
    <cellStyle name="20% - Accent1 4" xfId="12"/>
    <cellStyle name="20% - Accent1 5" xfId="13"/>
    <cellStyle name="20% - Accent1 6" xfId="14"/>
    <cellStyle name="20% - Accent2 1" xfId="15"/>
    <cellStyle name="20% - Accent2 2" xfId="16"/>
    <cellStyle name="20% - Accent2 2 2" xfId="17"/>
    <cellStyle name="20% - Accent2 2 2 2" xfId="18"/>
    <cellStyle name="20% - Accent2 2 2 2 2" xfId="19"/>
    <cellStyle name="20% - Accent2 2 2 2 3" xfId="20"/>
    <cellStyle name="20% - Accent2 2 2 3" xfId="21"/>
    <cellStyle name="20% - Accent2 2 3" xfId="22"/>
    <cellStyle name="20% - Accent2 2 4" xfId="23"/>
    <cellStyle name="20% - Accent2 2 5" xfId="24"/>
    <cellStyle name="20% - Accent2 3" xfId="25"/>
    <cellStyle name="20% - Accent2 4" xfId="26"/>
    <cellStyle name="20% - Accent2 5" xfId="27"/>
    <cellStyle name="20% - Accent2 6" xfId="28"/>
    <cellStyle name="20% - Accent3 1" xfId="29"/>
    <cellStyle name="20% - Accent3 2" xfId="30"/>
    <cellStyle name="20% - Accent3 2 2" xfId="31"/>
    <cellStyle name="20% - Accent3 2 2 2" xfId="32"/>
    <cellStyle name="20% - Accent3 2 2 2 2" xfId="33"/>
    <cellStyle name="20% - Accent3 2 2 2 3" xfId="34"/>
    <cellStyle name="20% - Accent3 2 2 3" xfId="35"/>
    <cellStyle name="20% - Accent3 2 3" xfId="36"/>
    <cellStyle name="20% - Accent3 2 4" xfId="37"/>
    <cellStyle name="20% - Accent3 2 5" xfId="38"/>
    <cellStyle name="20% - Accent3 3" xfId="39"/>
    <cellStyle name="20% - Accent3 4" xfId="40"/>
    <cellStyle name="20% - Accent3 5" xfId="41"/>
    <cellStyle name="20% - Accent3 6" xfId="42"/>
    <cellStyle name="20% - Accent4 1" xfId="43"/>
    <cellStyle name="20% - Accent4 2" xfId="44"/>
    <cellStyle name="20% - Accent4 2 2" xfId="45"/>
    <cellStyle name="20% - Accent4 2 2 2" xfId="46"/>
    <cellStyle name="20% - Accent4 2 2 2 2" xfId="47"/>
    <cellStyle name="20% - Accent4 2 2 2 3" xfId="48"/>
    <cellStyle name="20% - Accent4 2 2 3" xfId="49"/>
    <cellStyle name="20% - Accent4 2 3" xfId="50"/>
    <cellStyle name="20% - Accent4 2 4" xfId="51"/>
    <cellStyle name="20% - Accent4 2 5" xfId="52"/>
    <cellStyle name="20% - Accent4 3" xfId="53"/>
    <cellStyle name="20% - Accent4 4" xfId="54"/>
    <cellStyle name="20% - Accent4 5" xfId="55"/>
    <cellStyle name="20% - Accent4 6" xfId="56"/>
    <cellStyle name="20% - Accent5 1" xfId="57"/>
    <cellStyle name="20% - Accent5 2" xfId="58"/>
    <cellStyle name="20% - Accent5 2 2" xfId="59"/>
    <cellStyle name="20% - Accent5 2 2 2" xfId="60"/>
    <cellStyle name="20% - Accent5 2 2 2 2" xfId="61"/>
    <cellStyle name="20% - Accent5 2 2 2 3" xfId="62"/>
    <cellStyle name="20% - Accent5 2 2 3" xfId="63"/>
    <cellStyle name="20% - Accent5 2 3" xfId="64"/>
    <cellStyle name="20% - Accent5 2 4" xfId="65"/>
    <cellStyle name="20% - Accent5 2 5" xfId="66"/>
    <cellStyle name="20% - Accent5 3" xfId="67"/>
    <cellStyle name="20% - Accent5 4" xfId="68"/>
    <cellStyle name="20% - Accent5 5" xfId="69"/>
    <cellStyle name="20% - Accent5 6" xfId="70"/>
    <cellStyle name="20% - Accent6 1" xfId="71"/>
    <cellStyle name="20% - Accent6 2" xfId="72"/>
    <cellStyle name="20% - Accent6 2 2" xfId="73"/>
    <cellStyle name="20% - Accent6 2 2 2" xfId="74"/>
    <cellStyle name="20% - Accent6 2 2 2 2" xfId="75"/>
    <cellStyle name="20% - Accent6 2 2 2 3" xfId="76"/>
    <cellStyle name="20% - Accent6 2 2 3" xfId="77"/>
    <cellStyle name="20% - Accent6 2 3" xfId="78"/>
    <cellStyle name="20% - Accent6 2 4" xfId="79"/>
    <cellStyle name="20% - Accent6 2 5" xfId="80"/>
    <cellStyle name="20% - Accent6 3" xfId="81"/>
    <cellStyle name="20% - Accent6 4" xfId="82"/>
    <cellStyle name="20% - Accent6 5" xfId="83"/>
    <cellStyle name="20% - Accent6 6" xfId="84"/>
    <cellStyle name="40% - Accent1 1" xfId="85"/>
    <cellStyle name="40% - Accent1 2" xfId="86"/>
    <cellStyle name="40% - Accent1 2 2" xfId="87"/>
    <cellStyle name="40% - Accent1 2 2 2" xfId="88"/>
    <cellStyle name="40% - Accent1 2 2 2 2" xfId="89"/>
    <cellStyle name="40% - Accent1 2 2 2 3" xfId="90"/>
    <cellStyle name="40% - Accent1 2 2 3" xfId="91"/>
    <cellStyle name="40% - Accent1 2 3" xfId="92"/>
    <cellStyle name="40% - Accent1 2 4" xfId="93"/>
    <cellStyle name="40% - Accent1 2 5" xfId="94"/>
    <cellStyle name="40% - Accent1 3" xfId="95"/>
    <cellStyle name="40% - Accent1 4" xfId="96"/>
    <cellStyle name="40% - Accent1 5" xfId="97"/>
    <cellStyle name="40% - Accent1 6" xfId="98"/>
    <cellStyle name="40% - Accent2 1" xfId="99"/>
    <cellStyle name="40% - Accent2 2" xfId="100"/>
    <cellStyle name="40% - Accent2 2 2" xfId="101"/>
    <cellStyle name="40% - Accent2 2 2 2" xfId="102"/>
    <cellStyle name="40% - Accent2 2 2 2 2" xfId="103"/>
    <cellStyle name="40% - Accent2 2 2 2 3" xfId="104"/>
    <cellStyle name="40% - Accent2 2 2 3" xfId="105"/>
    <cellStyle name="40% - Accent2 2 3" xfId="106"/>
    <cellStyle name="40% - Accent2 2 4" xfId="107"/>
    <cellStyle name="40% - Accent2 2 5" xfId="108"/>
    <cellStyle name="40% - Accent2 3" xfId="109"/>
    <cellStyle name="40% - Accent2 4" xfId="110"/>
    <cellStyle name="40% - Accent2 5" xfId="111"/>
    <cellStyle name="40% - Accent2 6" xfId="112"/>
    <cellStyle name="40% - Accent3 1" xfId="113"/>
    <cellStyle name="40% - Accent3 2" xfId="114"/>
    <cellStyle name="40% - Accent3 2 2" xfId="115"/>
    <cellStyle name="40% - Accent3 2 2 2" xfId="116"/>
    <cellStyle name="40% - Accent3 2 2 2 2" xfId="117"/>
    <cellStyle name="40% - Accent3 2 2 2 3" xfId="118"/>
    <cellStyle name="40% - Accent3 2 2 3" xfId="119"/>
    <cellStyle name="40% - Accent3 2 3" xfId="120"/>
    <cellStyle name="40% - Accent3 2 4" xfId="121"/>
    <cellStyle name="40% - Accent3 2 5" xfId="122"/>
    <cellStyle name="40% - Accent3 3" xfId="123"/>
    <cellStyle name="40% - Accent3 4" xfId="124"/>
    <cellStyle name="40% - Accent3 5" xfId="125"/>
    <cellStyle name="40% - Accent3 6" xfId="126"/>
    <cellStyle name="40% - Accent4 1" xfId="127"/>
    <cellStyle name="40% - Accent4 2" xfId="128"/>
    <cellStyle name="40% - Accent4 2 2" xfId="129"/>
    <cellStyle name="40% - Accent4 2 2 2" xfId="130"/>
    <cellStyle name="40% - Accent4 2 2 2 2" xfId="131"/>
    <cellStyle name="40% - Accent4 2 2 2 3" xfId="132"/>
    <cellStyle name="40% - Accent4 2 2 3" xfId="133"/>
    <cellStyle name="40% - Accent4 2 3" xfId="134"/>
    <cellStyle name="40% - Accent4 2 4" xfId="135"/>
    <cellStyle name="40% - Accent4 2 5" xfId="136"/>
    <cellStyle name="40% - Accent4 3" xfId="137"/>
    <cellStyle name="40% - Accent4 4" xfId="138"/>
    <cellStyle name="40% - Accent4 5" xfId="139"/>
    <cellStyle name="40% - Accent4 6" xfId="140"/>
    <cellStyle name="40% - Accent5 1" xfId="141"/>
    <cellStyle name="40% - Accent5 2" xfId="142"/>
    <cellStyle name="40% - Accent5 2 2" xfId="143"/>
    <cellStyle name="40% - Accent5 2 2 2" xfId="144"/>
    <cellStyle name="40% - Accent5 2 2 2 2" xfId="145"/>
    <cellStyle name="40% - Accent5 2 2 2 3" xfId="146"/>
    <cellStyle name="40% - Accent5 2 2 3" xfId="147"/>
    <cellStyle name="40% - Accent5 2 3" xfId="148"/>
    <cellStyle name="40% - Accent5 2 4" xfId="149"/>
    <cellStyle name="40% - Accent5 2 5" xfId="150"/>
    <cellStyle name="40% - Accent5 3" xfId="151"/>
    <cellStyle name="40% - Accent5 4" xfId="152"/>
    <cellStyle name="40% - Accent5 5" xfId="153"/>
    <cellStyle name="40% - Accent5 6" xfId="154"/>
    <cellStyle name="40% - Accent6 1" xfId="155"/>
    <cellStyle name="40% - Accent6 2" xfId="156"/>
    <cellStyle name="40% - Accent6 2 2" xfId="157"/>
    <cellStyle name="40% - Accent6 2 2 2" xfId="158"/>
    <cellStyle name="40% - Accent6 2 2 2 2" xfId="159"/>
    <cellStyle name="40% - Accent6 2 2 2 3" xfId="160"/>
    <cellStyle name="40% - Accent6 2 2 3" xfId="161"/>
    <cellStyle name="40% - Accent6 2 3" xfId="162"/>
    <cellStyle name="40% - Accent6 2 4" xfId="163"/>
    <cellStyle name="40% - Accent6 2 5" xfId="164"/>
    <cellStyle name="40% - Accent6 3" xfId="165"/>
    <cellStyle name="40% - Accent6 4" xfId="166"/>
    <cellStyle name="40% - Accent6 5" xfId="167"/>
    <cellStyle name="40% - Accent6 6" xfId="168"/>
    <cellStyle name="60% - Accent1 1" xfId="169"/>
    <cellStyle name="60% - Accent1 2" xfId="170"/>
    <cellStyle name="60% - Accent1 2 2" xfId="171"/>
    <cellStyle name="60% - Accent1 2 2 2" xfId="172"/>
    <cellStyle name="60% - Accent1 2 2 2 2" xfId="173"/>
    <cellStyle name="60% - Accent1 2 2 2 3" xfId="174"/>
    <cellStyle name="60% - Accent1 2 2 3" xfId="175"/>
    <cellStyle name="60% - Accent1 2 3" xfId="176"/>
    <cellStyle name="60% - Accent1 2 4" xfId="177"/>
    <cellStyle name="60% - Accent1 2 5" xfId="178"/>
    <cellStyle name="60% - Accent1 3" xfId="179"/>
    <cellStyle name="60% - Accent1 4" xfId="180"/>
    <cellStyle name="60% - Accent1 5" xfId="181"/>
    <cellStyle name="60% - Accent1 6" xfId="182"/>
    <cellStyle name="60% - Accent2 1" xfId="183"/>
    <cellStyle name="60% - Accent2 2" xfId="184"/>
    <cellStyle name="60% - Accent2 2 2" xfId="185"/>
    <cellStyle name="60% - Accent2 2 2 2" xfId="186"/>
    <cellStyle name="60% - Accent2 2 2 2 2" xfId="187"/>
    <cellStyle name="60% - Accent2 2 2 2 3" xfId="188"/>
    <cellStyle name="60% - Accent2 2 2 3" xfId="189"/>
    <cellStyle name="60% - Accent2 2 3" xfId="190"/>
    <cellStyle name="60% - Accent2 2 4" xfId="191"/>
    <cellStyle name="60% - Accent2 2 5" xfId="192"/>
    <cellStyle name="60% - Accent2 3" xfId="193"/>
    <cellStyle name="60% - Accent2 4" xfId="194"/>
    <cellStyle name="60% - Accent2 5" xfId="195"/>
    <cellStyle name="60% - Accent2 6" xfId="196"/>
    <cellStyle name="60% - Accent3 1" xfId="197"/>
    <cellStyle name="60% - Accent3 2" xfId="198"/>
    <cellStyle name="60% - Accent3 2 2" xfId="199"/>
    <cellStyle name="60% - Accent3 2 2 2" xfId="200"/>
    <cellStyle name="60% - Accent3 2 2 2 2" xfId="201"/>
    <cellStyle name="60% - Accent3 2 2 2 3" xfId="202"/>
    <cellStyle name="60% - Accent3 2 2 3" xfId="203"/>
    <cellStyle name="60% - Accent3 2 3" xfId="204"/>
    <cellStyle name="60% - Accent3 2 4" xfId="205"/>
    <cellStyle name="60% - Accent3 2 5" xfId="206"/>
    <cellStyle name="60% - Accent3 3" xfId="207"/>
    <cellStyle name="60% - Accent3 4" xfId="208"/>
    <cellStyle name="60% - Accent3 5" xfId="209"/>
    <cellStyle name="60% - Accent3 6" xfId="210"/>
    <cellStyle name="60% - Accent4 1" xfId="211"/>
    <cellStyle name="60% - Accent4 2" xfId="212"/>
    <cellStyle name="60% - Accent4 2 2" xfId="213"/>
    <cellStyle name="60% - Accent4 2 2 2" xfId="214"/>
    <cellStyle name="60% - Accent4 2 2 2 2" xfId="215"/>
    <cellStyle name="60% - Accent4 2 2 2 3" xfId="216"/>
    <cellStyle name="60% - Accent4 2 2 3" xfId="217"/>
    <cellStyle name="60% - Accent4 2 3" xfId="218"/>
    <cellStyle name="60% - Accent4 2 4" xfId="219"/>
    <cellStyle name="60% - Accent4 2 5" xfId="220"/>
    <cellStyle name="60% - Accent4 3" xfId="221"/>
    <cellStyle name="60% - Accent4 4" xfId="222"/>
    <cellStyle name="60% - Accent4 5" xfId="223"/>
    <cellStyle name="60% - Accent4 6" xfId="224"/>
    <cellStyle name="60% - Accent5 1" xfId="225"/>
    <cellStyle name="60% - Accent5 2" xfId="226"/>
    <cellStyle name="60% - Accent5 2 2" xfId="227"/>
    <cellStyle name="60% - Accent5 2 2 2" xfId="228"/>
    <cellStyle name="60% - Accent5 2 2 2 2" xfId="229"/>
    <cellStyle name="60% - Accent5 2 2 2 3" xfId="230"/>
    <cellStyle name="60% - Accent5 2 2 3" xfId="231"/>
    <cellStyle name="60% - Accent5 2 3" xfId="232"/>
    <cellStyle name="60% - Accent5 2 4" xfId="233"/>
    <cellStyle name="60% - Accent5 2 5" xfId="234"/>
    <cellStyle name="60% - Accent5 3" xfId="235"/>
    <cellStyle name="60% - Accent5 4" xfId="236"/>
    <cellStyle name="60% - Accent5 5" xfId="237"/>
    <cellStyle name="60% - Accent5 6" xfId="238"/>
    <cellStyle name="60% - Accent6 1" xfId="239"/>
    <cellStyle name="60% - Accent6 2" xfId="240"/>
    <cellStyle name="60% - Accent6 2 2" xfId="241"/>
    <cellStyle name="60% - Accent6 2 2 2" xfId="242"/>
    <cellStyle name="60% - Accent6 2 2 2 2" xfId="243"/>
    <cellStyle name="60% - Accent6 2 2 2 3" xfId="244"/>
    <cellStyle name="60% - Accent6 2 2 3" xfId="245"/>
    <cellStyle name="60% - Accent6 2 3" xfId="246"/>
    <cellStyle name="60% - Accent6 2 4" xfId="247"/>
    <cellStyle name="60% - Accent6 2 5" xfId="248"/>
    <cellStyle name="60% - Accent6 3" xfId="249"/>
    <cellStyle name="60% - Accent6 4" xfId="250"/>
    <cellStyle name="60% - Accent6 5" xfId="251"/>
    <cellStyle name="60% - Accent6 6" xfId="252"/>
    <cellStyle name="Accent1 1" xfId="253"/>
    <cellStyle name="Accent1 2" xfId="254"/>
    <cellStyle name="Accent1 2 2" xfId="255"/>
    <cellStyle name="Accent1 2 2 2" xfId="256"/>
    <cellStyle name="Accent1 2 2 2 2" xfId="257"/>
    <cellStyle name="Accent1 2 2 2 3" xfId="258"/>
    <cellStyle name="Accent1 2 2 3" xfId="259"/>
    <cellStyle name="Accent1 2 3" xfId="260"/>
    <cellStyle name="Accent1 2 4" xfId="261"/>
    <cellStyle name="Accent1 2 5" xfId="262"/>
    <cellStyle name="Accent1 3" xfId="263"/>
    <cellStyle name="Accent1 4" xfId="264"/>
    <cellStyle name="Accent1 5" xfId="265"/>
    <cellStyle name="Accent1 6" xfId="266"/>
    <cellStyle name="Accent2 1" xfId="267"/>
    <cellStyle name="Accent2 2" xfId="268"/>
    <cellStyle name="Accent2 2 2" xfId="269"/>
    <cellStyle name="Accent2 2 2 2" xfId="270"/>
    <cellStyle name="Accent2 2 2 2 2" xfId="271"/>
    <cellStyle name="Accent2 2 2 2 3" xfId="272"/>
    <cellStyle name="Accent2 2 2 3" xfId="273"/>
    <cellStyle name="Accent2 2 3" xfId="274"/>
    <cellStyle name="Accent2 2 4" xfId="275"/>
    <cellStyle name="Accent2 2 5" xfId="276"/>
    <cellStyle name="Accent2 3" xfId="277"/>
    <cellStyle name="Accent2 4" xfId="278"/>
    <cellStyle name="Accent2 5" xfId="279"/>
    <cellStyle name="Accent2 6" xfId="280"/>
    <cellStyle name="Accent3 1" xfId="281"/>
    <cellStyle name="Accent3 2" xfId="282"/>
    <cellStyle name="Accent3 2 2" xfId="283"/>
    <cellStyle name="Accent3 2 2 2" xfId="284"/>
    <cellStyle name="Accent3 2 2 2 2" xfId="285"/>
    <cellStyle name="Accent3 2 2 2 3" xfId="286"/>
    <cellStyle name="Accent3 2 2 3" xfId="287"/>
    <cellStyle name="Accent3 2 3" xfId="288"/>
    <cellStyle name="Accent3 2 4" xfId="289"/>
    <cellStyle name="Accent3 2 5" xfId="290"/>
    <cellStyle name="Accent3 3" xfId="291"/>
    <cellStyle name="Accent3 4" xfId="292"/>
    <cellStyle name="Accent3 5" xfId="293"/>
    <cellStyle name="Accent3 6" xfId="294"/>
    <cellStyle name="Accent4 1" xfId="295"/>
    <cellStyle name="Accent4 2" xfId="296"/>
    <cellStyle name="Accent4 2 2" xfId="297"/>
    <cellStyle name="Accent4 2 2 2" xfId="298"/>
    <cellStyle name="Accent4 2 2 2 2" xfId="299"/>
    <cellStyle name="Accent4 2 2 2 3" xfId="300"/>
    <cellStyle name="Accent4 2 2 3" xfId="301"/>
    <cellStyle name="Accent4 2 3" xfId="302"/>
    <cellStyle name="Accent4 2 4" xfId="303"/>
    <cellStyle name="Accent4 2 5" xfId="304"/>
    <cellStyle name="Accent4 3" xfId="305"/>
    <cellStyle name="Accent4 4" xfId="306"/>
    <cellStyle name="Accent4 5" xfId="307"/>
    <cellStyle name="Accent4 6" xfId="308"/>
    <cellStyle name="Accent5 1" xfId="309"/>
    <cellStyle name="Accent5 2" xfId="310"/>
    <cellStyle name="Accent5 2 2" xfId="311"/>
    <cellStyle name="Accent5 2 2 2" xfId="312"/>
    <cellStyle name="Accent5 2 2 2 2" xfId="313"/>
    <cellStyle name="Accent5 2 2 2 3" xfId="314"/>
    <cellStyle name="Accent5 2 2 3" xfId="315"/>
    <cellStyle name="Accent5 2 3" xfId="316"/>
    <cellStyle name="Accent5 2 4" xfId="317"/>
    <cellStyle name="Accent5 2 5" xfId="318"/>
    <cellStyle name="Accent5 3" xfId="319"/>
    <cellStyle name="Accent5 4" xfId="320"/>
    <cellStyle name="Accent5 5" xfId="321"/>
    <cellStyle name="Accent5 6" xfId="322"/>
    <cellStyle name="Accent6 1" xfId="323"/>
    <cellStyle name="Accent6 2" xfId="324"/>
    <cellStyle name="Accent6 2 2" xfId="325"/>
    <cellStyle name="Accent6 2 2 2" xfId="326"/>
    <cellStyle name="Accent6 2 2 2 2" xfId="327"/>
    <cellStyle name="Accent6 2 2 2 3" xfId="328"/>
    <cellStyle name="Accent6 2 2 3" xfId="329"/>
    <cellStyle name="Accent6 2 3" xfId="330"/>
    <cellStyle name="Accent6 2 4" xfId="331"/>
    <cellStyle name="Accent6 2 5" xfId="332"/>
    <cellStyle name="Accent6 3" xfId="333"/>
    <cellStyle name="Accent6 4" xfId="334"/>
    <cellStyle name="Accent6 5" xfId="335"/>
    <cellStyle name="Accent6 6" xfId="336"/>
    <cellStyle name="Bad 1" xfId="337"/>
    <cellStyle name="Bad 2" xfId="338"/>
    <cellStyle name="Bad 2 2" xfId="339"/>
    <cellStyle name="Bad 2 2 2" xfId="340"/>
    <cellStyle name="Bad 2 2 2 2" xfId="341"/>
    <cellStyle name="Bad 2 2 2 3" xfId="342"/>
    <cellStyle name="Bad 2 2 3" xfId="343"/>
    <cellStyle name="Bad 2 3" xfId="344"/>
    <cellStyle name="Bad 2 4" xfId="345"/>
    <cellStyle name="Bad 2 5" xfId="346"/>
    <cellStyle name="Bad 3" xfId="347"/>
    <cellStyle name="Bad 4" xfId="348"/>
    <cellStyle name="Bad 5" xfId="349"/>
    <cellStyle name="Bad 6" xfId="350"/>
    <cellStyle name="Calculation 1" xfId="351"/>
    <cellStyle name="Calculation 2" xfId="352"/>
    <cellStyle name="Calculation 2 2" xfId="353"/>
    <cellStyle name="Calculation 2 2 2" xfId="354"/>
    <cellStyle name="Calculation 2 2 2 2" xfId="355"/>
    <cellStyle name="Calculation 2 2 2 3" xfId="356"/>
    <cellStyle name="Calculation 2 2 3" xfId="357"/>
    <cellStyle name="Calculation 2 3" xfId="358"/>
    <cellStyle name="Calculation 2 4" xfId="359"/>
    <cellStyle name="Calculation 2 5" xfId="360"/>
    <cellStyle name="Calculation 3" xfId="361"/>
    <cellStyle name="Calculation 4" xfId="362"/>
    <cellStyle name="Calculation 5" xfId="363"/>
    <cellStyle name="Calculation 6" xfId="364"/>
    <cellStyle name="Check Cell 1" xfId="365"/>
    <cellStyle name="Check Cell 2" xfId="366"/>
    <cellStyle name="Check Cell 2 2" xfId="367"/>
    <cellStyle name="Check Cell 2 2 2" xfId="368"/>
    <cellStyle name="Check Cell 2 2 2 2" xfId="369"/>
    <cellStyle name="Check Cell 2 2 2 3" xfId="370"/>
    <cellStyle name="Check Cell 2 2 3" xfId="371"/>
    <cellStyle name="Check Cell 2 3" xfId="372"/>
    <cellStyle name="Check Cell 2 4" xfId="373"/>
    <cellStyle name="Check Cell 2 5" xfId="374"/>
    <cellStyle name="Check Cell 3" xfId="375"/>
    <cellStyle name="Check Cell 4" xfId="376"/>
    <cellStyle name="Check Cell 5" xfId="377"/>
    <cellStyle name="Check Cell 6" xfId="378"/>
    <cellStyle name="Currency" xfId="379" builtinId="4"/>
    <cellStyle name="Explanatory Text 1" xfId="380"/>
    <cellStyle name="Explanatory Text 2" xfId="381"/>
    <cellStyle name="Explanatory Text 2 2" xfId="382"/>
    <cellStyle name="Explanatory Text 2 2 2" xfId="383"/>
    <cellStyle name="Explanatory Text 2 2 2 2" xfId="384"/>
    <cellStyle name="Explanatory Text 2 2 2 3" xfId="385"/>
    <cellStyle name="Explanatory Text 2 2 3" xfId="386"/>
    <cellStyle name="Explanatory Text 2 3" xfId="387"/>
    <cellStyle name="Explanatory Text 2 4" xfId="388"/>
    <cellStyle name="Explanatory Text 2 5" xfId="389"/>
    <cellStyle name="Explanatory Text 3" xfId="390"/>
    <cellStyle name="Explanatory Text 4" xfId="391"/>
    <cellStyle name="Explanatory Text 5" xfId="392"/>
    <cellStyle name="Explanatory Text 6" xfId="393"/>
    <cellStyle name="Good 1" xfId="394"/>
    <cellStyle name="Good 2" xfId="395"/>
    <cellStyle name="Good 2 2" xfId="396"/>
    <cellStyle name="Good 2 2 2" xfId="397"/>
    <cellStyle name="Good 2 2 2 2" xfId="398"/>
    <cellStyle name="Good 2 2 2 3" xfId="399"/>
    <cellStyle name="Good 2 2 3" xfId="400"/>
    <cellStyle name="Good 2 3" xfId="401"/>
    <cellStyle name="Good 2 4" xfId="402"/>
    <cellStyle name="Good 2 5" xfId="403"/>
    <cellStyle name="Good 3" xfId="404"/>
    <cellStyle name="Good 4" xfId="405"/>
    <cellStyle name="Good 5" xfId="406"/>
    <cellStyle name="Good 6" xfId="407"/>
    <cellStyle name="GreyOrWhite" xfId="408"/>
    <cellStyle name="Heading 1 1" xfId="409"/>
    <cellStyle name="Heading 1 2" xfId="410"/>
    <cellStyle name="Heading 1 2 2" xfId="411"/>
    <cellStyle name="Heading 1 2 3" xfId="412"/>
    <cellStyle name="Heading 1 2 4" xfId="413"/>
    <cellStyle name="Heading 1 2 5" xfId="414"/>
    <cellStyle name="Heading 1 3" xfId="415"/>
    <cellStyle name="Heading 1 4" xfId="416"/>
    <cellStyle name="Heading 1 5" xfId="417"/>
    <cellStyle name="Heading 1 6" xfId="418"/>
    <cellStyle name="Heading 2 1" xfId="419"/>
    <cellStyle name="Heading 2 2" xfId="420"/>
    <cellStyle name="Heading 2 2 2" xfId="421"/>
    <cellStyle name="Heading 2 2 3" xfId="422"/>
    <cellStyle name="Heading 2 2 4" xfId="423"/>
    <cellStyle name="Heading 2 2 5" xfId="424"/>
    <cellStyle name="Heading 2 3" xfId="425"/>
    <cellStyle name="Heading 2 4" xfId="426"/>
    <cellStyle name="Heading 2 5" xfId="427"/>
    <cellStyle name="Heading 2 6" xfId="428"/>
    <cellStyle name="Heading 3 1" xfId="429"/>
    <cellStyle name="Heading 3 2" xfId="430"/>
    <cellStyle name="Heading 3 2 2" xfId="431"/>
    <cellStyle name="Heading 3 2 3" xfId="432"/>
    <cellStyle name="Heading 3 2 4" xfId="433"/>
    <cellStyle name="Heading 3 2 5" xfId="434"/>
    <cellStyle name="Heading 3 3" xfId="435"/>
    <cellStyle name="Heading 3 4" xfId="436"/>
    <cellStyle name="Heading 3 5" xfId="437"/>
    <cellStyle name="Heading 3 6" xfId="438"/>
    <cellStyle name="Heading 4 1" xfId="439"/>
    <cellStyle name="Heading 4 2" xfId="440"/>
    <cellStyle name="Heading 4 2 2" xfId="441"/>
    <cellStyle name="Heading 4 2 3" xfId="442"/>
    <cellStyle name="Heading 4 2 4" xfId="443"/>
    <cellStyle name="Heading 4 2 5" xfId="444"/>
    <cellStyle name="Heading 4 3" xfId="445"/>
    <cellStyle name="Heading 4 4" xfId="446"/>
    <cellStyle name="Heading 4 5" xfId="447"/>
    <cellStyle name="Heading 4 6" xfId="448"/>
    <cellStyle name="Input 1" xfId="449"/>
    <cellStyle name="Input 2" xfId="450"/>
    <cellStyle name="Input 2 2" xfId="451"/>
    <cellStyle name="Input 2 2 2" xfId="452"/>
    <cellStyle name="Input 2 2 2 2" xfId="453"/>
    <cellStyle name="Input 2 2 2 3" xfId="454"/>
    <cellStyle name="Input 2 2 3" xfId="455"/>
    <cellStyle name="Input 2 3" xfId="456"/>
    <cellStyle name="Input 2 4" xfId="457"/>
    <cellStyle name="Input 2 5" xfId="458"/>
    <cellStyle name="Input 3" xfId="459"/>
    <cellStyle name="Input 4" xfId="460"/>
    <cellStyle name="Input 5" xfId="461"/>
    <cellStyle name="Input 6" xfId="462"/>
    <cellStyle name="Linked Cell 1" xfId="463"/>
    <cellStyle name="Linked Cell 2" xfId="464"/>
    <cellStyle name="Linked Cell 2 2" xfId="465"/>
    <cellStyle name="Linked Cell 2 2 2" xfId="466"/>
    <cellStyle name="Linked Cell 2 2 2 2" xfId="467"/>
    <cellStyle name="Linked Cell 2 2 2 3" xfId="468"/>
    <cellStyle name="Linked Cell 2 2 3" xfId="469"/>
    <cellStyle name="Linked Cell 2 3" xfId="470"/>
    <cellStyle name="Linked Cell 2 4" xfId="471"/>
    <cellStyle name="Linked Cell 2 5" xfId="472"/>
    <cellStyle name="Linked Cell 3" xfId="473"/>
    <cellStyle name="Linked Cell 4" xfId="474"/>
    <cellStyle name="Linked Cell 5" xfId="475"/>
    <cellStyle name="Linked Cell 6" xfId="476"/>
    <cellStyle name="Neutral 1" xfId="477"/>
    <cellStyle name="Neutral 2" xfId="478"/>
    <cellStyle name="Neutral 2 2" xfId="479"/>
    <cellStyle name="Neutral 2 2 2" xfId="480"/>
    <cellStyle name="Neutral 2 2 2 2" xfId="481"/>
    <cellStyle name="Neutral 2 2 2 3" xfId="482"/>
    <cellStyle name="Neutral 2 2 3" xfId="483"/>
    <cellStyle name="Neutral 2 3" xfId="484"/>
    <cellStyle name="Neutral 2 4" xfId="485"/>
    <cellStyle name="Neutral 2 5" xfId="486"/>
    <cellStyle name="Neutral 3" xfId="487"/>
    <cellStyle name="Neutral 4" xfId="488"/>
    <cellStyle name="Neutral 5" xfId="489"/>
    <cellStyle name="Neutral 6" xfId="490"/>
    <cellStyle name="Normal" xfId="0" builtinId="0"/>
    <cellStyle name="Normal 2" xfId="491"/>
    <cellStyle name="Normal 2 2" xfId="492"/>
    <cellStyle name="Normal 2 2 2" xfId="493"/>
    <cellStyle name="Normal 2 2 2 2" xfId="494"/>
    <cellStyle name="Normal 2 2 2 3" xfId="495"/>
    <cellStyle name="Normal 2 2 3" xfId="496"/>
    <cellStyle name="Normal 2 3" xfId="497"/>
    <cellStyle name="Normal 2 4" xfId="498"/>
    <cellStyle name="Normal 2 5" xfId="499"/>
    <cellStyle name="Normal 3" xfId="500"/>
    <cellStyle name="Normal 4" xfId="501"/>
    <cellStyle name="Normal 4 2" xfId="502"/>
    <cellStyle name="Normal 4 3" xfId="503"/>
    <cellStyle name="Normal 5" xfId="504"/>
    <cellStyle name="Normal 6" xfId="505"/>
    <cellStyle name="Note 1" xfId="506"/>
    <cellStyle name="Note 2" xfId="507"/>
    <cellStyle name="Note 2 2" xfId="508"/>
    <cellStyle name="Note 2 3" xfId="509"/>
    <cellStyle name="Note 2 4" xfId="510"/>
    <cellStyle name="Note 2 5" xfId="511"/>
    <cellStyle name="Note 3" xfId="512"/>
    <cellStyle name="Note 4" xfId="513"/>
    <cellStyle name="Note 5" xfId="514"/>
    <cellStyle name="Note 6" xfId="515"/>
    <cellStyle name="Output 1" xfId="516"/>
    <cellStyle name="Output 2" xfId="517"/>
    <cellStyle name="Output 2 2" xfId="518"/>
    <cellStyle name="Output 2 2 2" xfId="519"/>
    <cellStyle name="Output 2 2 2 2" xfId="520"/>
    <cellStyle name="Output 2 2 2 3" xfId="521"/>
    <cellStyle name="Output 2 2 3" xfId="522"/>
    <cellStyle name="Output 2 3" xfId="523"/>
    <cellStyle name="Output 2 4" xfId="524"/>
    <cellStyle name="Output 2 5" xfId="525"/>
    <cellStyle name="Output 3" xfId="526"/>
    <cellStyle name="Output 4" xfId="527"/>
    <cellStyle name="Output 5" xfId="528"/>
    <cellStyle name="Output 6" xfId="529"/>
    <cellStyle name="shaded" xfId="530"/>
    <cellStyle name="Title 1" xfId="531"/>
    <cellStyle name="Title 2" xfId="532"/>
    <cellStyle name="Title 2 2" xfId="533"/>
    <cellStyle name="Title 2 3" xfId="534"/>
    <cellStyle name="Title 2 4" xfId="535"/>
    <cellStyle name="Title 2 5" xfId="536"/>
    <cellStyle name="Title 3" xfId="537"/>
    <cellStyle name="Title 4" xfId="538"/>
    <cellStyle name="Title 5" xfId="539"/>
    <cellStyle name="Title 6" xfId="540"/>
    <cellStyle name="Total 1" xfId="541"/>
    <cellStyle name="Total 2" xfId="542"/>
    <cellStyle name="Total 2 2" xfId="543"/>
    <cellStyle name="Total 2 2 2" xfId="544"/>
    <cellStyle name="Total 2 2 2 2" xfId="545"/>
    <cellStyle name="Total 2 2 2 3" xfId="546"/>
    <cellStyle name="Total 2 2 3" xfId="547"/>
    <cellStyle name="Total 2 3" xfId="548"/>
    <cellStyle name="Total 2 4" xfId="549"/>
    <cellStyle name="Total 2 5" xfId="550"/>
    <cellStyle name="Total 3" xfId="551"/>
    <cellStyle name="Total 4" xfId="552"/>
    <cellStyle name="Total 5" xfId="553"/>
    <cellStyle name="Total 6" xfId="554"/>
    <cellStyle name="Warning Text 1" xfId="555"/>
    <cellStyle name="Warning Text 2" xfId="556"/>
    <cellStyle name="Warning Text 2 2" xfId="557"/>
    <cellStyle name="Warning Text 2 2 2" xfId="558"/>
    <cellStyle name="Warning Text 2 2 2 2" xfId="559"/>
    <cellStyle name="Warning Text 2 2 2 3" xfId="560"/>
    <cellStyle name="Warning Text 2 2 3" xfId="561"/>
    <cellStyle name="Warning Text 2 3" xfId="562"/>
    <cellStyle name="Warning Text 2 4" xfId="563"/>
    <cellStyle name="Warning Text 2 5" xfId="564"/>
    <cellStyle name="Warning Text 3" xfId="565"/>
    <cellStyle name="Warning Text 4" xfId="566"/>
    <cellStyle name="Warning Text 5" xfId="567"/>
    <cellStyle name="Warning Text 6" xfId="568"/>
    <cellStyle name="Yellow" xfId="56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9525</xdr:colOff>
      <xdr:row>10</xdr:row>
      <xdr:rowOff>163848</xdr:rowOff>
    </xdr:to>
    <xdr:sp macro="" textlink="">
      <xdr:nvSpPr>
        <xdr:cNvPr id="2" name="TextBox 1"/>
        <xdr:cNvSpPr txBox="1"/>
      </xdr:nvSpPr>
      <xdr:spPr>
        <a:xfrm>
          <a:off x="609600" y="381000"/>
          <a:ext cx="4276725" cy="16954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tests a condition.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-If the condition is met it is considered to be TRUE.</a:t>
          </a: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-If the condition is not met it is considered as FALSE.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-Depending upon the result, one of two actions will be carried out.</a:t>
          </a:r>
        </a:p>
        <a:p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IF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(</a:t>
          </a:r>
          <a:r>
            <a:rPr lang="en-US" sz="1200" b="1">
              <a:solidFill>
                <a:sysClr val="windowText" lastClr="000000"/>
              </a:solidFill>
              <a:latin typeface="+mj-lt"/>
            </a:rPr>
            <a:t>logical_test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,</a:t>
          </a:r>
          <a:r>
            <a:rPr lang="en-US" sz="1200" b="1">
              <a:solidFill>
                <a:sysClr val="windowText" lastClr="000000"/>
              </a:solidFill>
              <a:latin typeface="+mj-lt"/>
            </a:rPr>
            <a:t>value_if_true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,value_if_false)</a:t>
          </a:r>
          <a:endParaRPr lang="en-US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588644</xdr:colOff>
      <xdr:row>2</xdr:row>
      <xdr:rowOff>0</xdr:rowOff>
    </xdr:from>
    <xdr:to>
      <xdr:col>4</xdr:col>
      <xdr:colOff>878254</xdr:colOff>
      <xdr:row>9</xdr:row>
      <xdr:rowOff>9526</xdr:rowOff>
    </xdr:to>
    <xdr:sp macro="" textlink="">
      <xdr:nvSpPr>
        <xdr:cNvPr id="2" name="TextBox 1"/>
        <xdr:cNvSpPr txBox="1"/>
      </xdr:nvSpPr>
      <xdr:spPr>
        <a:xfrm>
          <a:off x="590549" y="381000"/>
          <a:ext cx="3667125" cy="134302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Returns TRUE if all its arguments are TRUE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-Returns FALSE if one or more argument is FALSE.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IF(AND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(</a:t>
          </a: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logical1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,logical2, ...))</a:t>
          </a:r>
        </a:p>
        <a:p>
          <a:pPr>
            <a:lnSpc>
              <a:spcPts val="1200"/>
            </a:lnSpc>
          </a:pP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889585</xdr:colOff>
      <xdr:row>28</xdr:row>
      <xdr:rowOff>9526</xdr:rowOff>
    </xdr:to>
    <xdr:sp macro="" textlink="">
      <xdr:nvSpPr>
        <xdr:cNvPr id="5" name="TextBox 4"/>
        <xdr:cNvSpPr txBox="1"/>
      </xdr:nvSpPr>
      <xdr:spPr>
        <a:xfrm>
          <a:off x="609600" y="4000500"/>
          <a:ext cx="3752850" cy="134302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Returns TRUE if any argument is TRUE;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-Returns FALSE if all arguments are FALSE.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IF(OR(logical1</a:t>
          </a:r>
          <a:r>
            <a:rPr lang="en-US" sz="1200" b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,logical2,...))</a:t>
          </a:r>
          <a:endParaRPr lang="en-US" sz="1200" b="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</xdr:row>
      <xdr:rowOff>9524</xdr:rowOff>
    </xdr:from>
    <xdr:to>
      <xdr:col>14</xdr:col>
      <xdr:colOff>466724</xdr:colOff>
      <xdr:row>13</xdr:row>
      <xdr:rowOff>9525</xdr:rowOff>
    </xdr:to>
    <xdr:sp macro="" textlink="">
      <xdr:nvSpPr>
        <xdr:cNvPr id="2" name="TextBox 1"/>
        <xdr:cNvSpPr txBox="1"/>
      </xdr:nvSpPr>
      <xdr:spPr>
        <a:xfrm>
          <a:off x="609599" y="390524"/>
          <a:ext cx="5953125" cy="209550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looks for a piece of information in a list, and then picks an item from a second range of cells.</a:t>
          </a:r>
        </a:p>
        <a:p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-LOOKUP(What To Look For,Range To LookIn,Range ToPick From)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What ToLookF or should be a single item.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 ToLook in can be either horizontal or vertical.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RangeToPick From must have the same number of cells in it as the RangeToLookin.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200" b="1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Note-</a:t>
          </a: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Be careful not to include unnecessary heading in the ranges as these will cause errors.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</a:t>
          </a:r>
        </a:p>
        <a:p>
          <a:endParaRPr lang="en-US">
            <a:latin typeface="+mj-lt"/>
          </a:endParaRPr>
        </a:p>
        <a:p>
          <a:endParaRPr lang="en-US" sz="1100"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182880</xdr:rowOff>
    </xdr:from>
    <xdr:to>
      <xdr:col>12</xdr:col>
      <xdr:colOff>542925</xdr:colOff>
      <xdr:row>11</xdr:row>
      <xdr:rowOff>87675</xdr:rowOff>
    </xdr:to>
    <xdr:sp macro="" textlink="">
      <xdr:nvSpPr>
        <xdr:cNvPr id="2" name="TextBox 1"/>
        <xdr:cNvSpPr txBox="1"/>
      </xdr:nvSpPr>
      <xdr:spPr>
        <a:xfrm>
          <a:off x="590550" y="180975"/>
          <a:ext cx="7267575" cy="20097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scans down the row headings at the side of a table to find a specified item.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When the item is found, it then scans across to pick a cell entry.</a:t>
          </a:r>
        </a:p>
        <a:p>
          <a:pPr>
            <a:lnSpc>
              <a:spcPts val="9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9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=VLOOKUP(ItemToFind,RangeToLookIn,ColumnToPickFrom,SortedOrUnsorted)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ItemToFind is a single item specified by the user.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RangeToLookIn is the range of data with the row headings at the left hand side.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ColumnToPickFrom is how far across the table the function should look to pick from.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Sorted/Unsorted is whether the column headings are sorted. TRUE for yes, FALSE for no.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0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8</xdr:col>
      <xdr:colOff>504825</xdr:colOff>
      <xdr:row>12</xdr:row>
      <xdr:rowOff>87646</xdr:rowOff>
    </xdr:to>
    <xdr:sp macro="" textlink="">
      <xdr:nvSpPr>
        <xdr:cNvPr id="2" name="TextBox 1"/>
        <xdr:cNvSpPr txBox="1"/>
      </xdr:nvSpPr>
      <xdr:spPr>
        <a:xfrm>
          <a:off x="609600" y="381001"/>
          <a:ext cx="4772025" cy="2000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scans across the column headings at the top of a table to find a specified item.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-When the item is found, it then scans down the column to pick a cell entry.</a:t>
          </a:r>
        </a:p>
        <a:p>
          <a:pPr>
            <a:lnSpc>
              <a:spcPts val="13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=HLOOKUP(ItemToFind,RangeToLookIn,RowToPickFrom,SortedOrUnsorted)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Item To Find is a single item specified by the user.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 To LookIn is the range of data with the column headings at the top.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Row To Pick From is how far down the column the function should look to pick from.</a:t>
          </a: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Sorted/Unsorted is whether the column headings are sorted. TRUE for yes, FALSE for no.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1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476250</xdr:colOff>
      <xdr:row>8</xdr:row>
      <xdr:rowOff>125754</xdr:rowOff>
    </xdr:to>
    <xdr:sp macro="" textlink="">
      <xdr:nvSpPr>
        <xdr:cNvPr id="2" name="TextBox 1"/>
        <xdr:cNvSpPr txBox="1"/>
      </xdr:nvSpPr>
      <xdr:spPr>
        <a:xfrm>
          <a:off x="609600" y="381000"/>
          <a:ext cx="4133850" cy="12763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numeric entries in a list.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>
              <a:solidFill>
                <a:sysClr val="windowText" lastClr="000000"/>
              </a:solidFill>
              <a:latin typeface="+mj-lt"/>
            </a:rPr>
            <a:t>-It will ignore blanks, text and errors.</a:t>
          </a:r>
        </a:p>
        <a:p>
          <a:pPr>
            <a:lnSpc>
              <a:spcPts val="12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=COUNT(Range1,Range2,Range3... through to Range30)</a:t>
          </a: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0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533400</xdr:colOff>
      <xdr:row>8</xdr:row>
      <xdr:rowOff>123825</xdr:rowOff>
    </xdr:to>
    <xdr:sp macro="" textlink="">
      <xdr:nvSpPr>
        <xdr:cNvPr id="2" name="TextBox 1"/>
        <xdr:cNvSpPr txBox="1"/>
      </xdr:nvSpPr>
      <xdr:spPr>
        <a:xfrm>
          <a:off x="609600" y="381000"/>
          <a:ext cx="4191000" cy="12668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3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numeric entries in a list.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=COUNT(Range1,Range2,Range3... through to Range30)</a:t>
          </a:r>
        </a:p>
        <a:p>
          <a:pPr>
            <a:lnSpc>
              <a:spcPts val="13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285750</xdr:colOff>
      <xdr:row>7</xdr:row>
      <xdr:rowOff>182909</xdr:rowOff>
    </xdr:to>
    <xdr:sp macro="" textlink="">
      <xdr:nvSpPr>
        <xdr:cNvPr id="2" name="TextBox 1"/>
        <xdr:cNvSpPr txBox="1"/>
      </xdr:nvSpPr>
      <xdr:spPr>
        <a:xfrm>
          <a:off x="609600" y="381000"/>
          <a:ext cx="3943350" cy="11334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blank cells in a range.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=COUNTBLANK(RangeToTest)</a:t>
          </a: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</xdr:row>
      <xdr:rowOff>1</xdr:rowOff>
    </xdr:from>
    <xdr:to>
      <xdr:col>8</xdr:col>
      <xdr:colOff>95250</xdr:colOff>
      <xdr:row>8</xdr:row>
      <xdr:rowOff>116221</xdr:rowOff>
    </xdr:to>
    <xdr:sp macro="" textlink="">
      <xdr:nvSpPr>
        <xdr:cNvPr id="2" name="TextBox 1"/>
        <xdr:cNvSpPr txBox="1"/>
      </xdr:nvSpPr>
      <xdr:spPr>
        <a:xfrm>
          <a:off x="609599" y="381001"/>
          <a:ext cx="4362451" cy="12573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items which match criteria set by the user.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=COUNTIF(RangeOfThingsToBeCounted,CriteriaToBeMatched)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 sz="1100">
            <a:latin typeface="+mj-lt"/>
          </a:endParaRPr>
        </a:p>
      </xdr:txBody>
    </xdr:sp>
    <xdr:clientData/>
  </xdr:twoCellAnchor>
  <xdr:oneCellAnchor>
    <xdr:from>
      <xdr:col>6</xdr:col>
      <xdr:colOff>213360</xdr:colOff>
      <xdr:row>19</xdr:row>
      <xdr:rowOff>142875</xdr:rowOff>
    </xdr:from>
    <xdr:ext cx="914400" cy="264560"/>
    <xdr:sp macro="" textlink="">
      <xdr:nvSpPr>
        <xdr:cNvPr id="3" name="TextBox 2"/>
        <xdr:cNvSpPr txBox="1"/>
      </xdr:nvSpPr>
      <xdr:spPr>
        <a:xfrm>
          <a:off x="4271010" y="37623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213360</xdr:colOff>
      <xdr:row>19</xdr:row>
      <xdr:rowOff>142875</xdr:rowOff>
    </xdr:from>
    <xdr:ext cx="914400" cy="264560"/>
    <xdr:sp macro="" textlink="">
      <xdr:nvSpPr>
        <xdr:cNvPr id="4" name="TextBox 3"/>
        <xdr:cNvSpPr txBox="1"/>
      </xdr:nvSpPr>
      <xdr:spPr>
        <a:xfrm>
          <a:off x="4271010" y="37623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38100</xdr:rowOff>
    </xdr:from>
    <xdr:to>
      <xdr:col>7</xdr:col>
      <xdr:colOff>428625</xdr:colOff>
      <xdr:row>8</xdr:row>
      <xdr:rowOff>106704</xdr:rowOff>
    </xdr:to>
    <xdr:sp macro="" textlink="">
      <xdr:nvSpPr>
        <xdr:cNvPr id="2" name="TextBox 1"/>
        <xdr:cNvSpPr txBox="1"/>
      </xdr:nvSpPr>
      <xdr:spPr>
        <a:xfrm>
          <a:off x="714375" y="228600"/>
          <a:ext cx="3981450" cy="14001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adds the value of items which match criteria set by the user.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endParaRPr lang="en-US" sz="1200" b="1">
            <a:solidFill>
              <a:sysClr val="windowText" lastClr="000000"/>
            </a:solidFill>
            <a:latin typeface="+mj-lt"/>
          </a:endParaRP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=SUMIF(RangeOfThingsToBeExamined,CriteriaToBeMatched,RangeOfValuesToTotal)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590551</xdr:colOff>
      <xdr:row>1</xdr:row>
      <xdr:rowOff>163830</xdr:rowOff>
    </xdr:from>
    <xdr:to>
      <xdr:col>3</xdr:col>
      <xdr:colOff>1295437</xdr:colOff>
      <xdr:row>8</xdr:row>
      <xdr:rowOff>87630</xdr:rowOff>
    </xdr:to>
    <xdr:sp macro="" textlink="">
      <xdr:nvSpPr>
        <xdr:cNvPr id="2" name="TextBox 1"/>
        <xdr:cNvSpPr txBox="1"/>
      </xdr:nvSpPr>
      <xdr:spPr>
        <a:xfrm>
          <a:off x="590551" y="361950"/>
          <a:ext cx="1847850" cy="12573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joins separate pieces of text into one item.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endParaRPr lang="en-US" sz="1200" b="1">
            <a:solidFill>
              <a:sysClr val="windowText" lastClr="000000"/>
            </a:solidFill>
            <a:latin typeface="+mj-lt"/>
          </a:endParaRP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=CONCATENATE(Text1,Text2,Text3...Text30)</a:t>
          </a: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Note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- Up to thirty pieces of text can be joined.</a:t>
          </a:r>
        </a:p>
        <a:p>
          <a:endParaRPr lang="en-US" sz="1100">
            <a:latin typeface="+mj-lt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28575</xdr:colOff>
      <xdr:row>10</xdr:row>
      <xdr:rowOff>144800</xdr:rowOff>
    </xdr:to>
    <xdr:sp macro="" textlink="">
      <xdr:nvSpPr>
        <xdr:cNvPr id="2" name="TextBox 1"/>
        <xdr:cNvSpPr txBox="1"/>
      </xdr:nvSpPr>
      <xdr:spPr>
        <a:xfrm>
          <a:off x="609600" y="381000"/>
          <a:ext cx="4295775" cy="16668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removes any nonprintable characters from text.</a:t>
          </a:r>
        </a:p>
        <a:p>
          <a:r>
            <a:rPr lang="en-US" sz="1200" b="0">
              <a:solidFill>
                <a:sysClr val="windowText" lastClr="000000"/>
              </a:solidFill>
              <a:latin typeface="+mj-lt"/>
            </a:rPr>
            <a:t>-These nonprinting characters are often found in data which has been imported from other systems such as database imports from mainframes.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Syntax</a:t>
          </a:r>
        </a:p>
        <a:p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=CLEAN(TextToBeCleaned)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9523</xdr:rowOff>
    </xdr:from>
    <xdr:to>
      <xdr:col>13</xdr:col>
      <xdr:colOff>590550</xdr:colOff>
      <xdr:row>14</xdr:row>
      <xdr:rowOff>116219</xdr:rowOff>
    </xdr:to>
    <xdr:sp macro="" textlink="">
      <xdr:nvSpPr>
        <xdr:cNvPr id="2" name="TextBox 1"/>
        <xdr:cNvSpPr txBox="1"/>
      </xdr:nvSpPr>
      <xdr:spPr>
        <a:xfrm>
          <a:off x="609600" y="390523"/>
          <a:ext cx="7905750" cy="23907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examines a list of information and produces and average.</a:t>
          </a:r>
        </a:p>
        <a:p>
          <a:pPr eaLnBrk="1" fontAlgn="auto" latinLnBrk="0" hangingPunct="1"/>
          <a:endParaRPr lang="en-US" sz="12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Syntax</a:t>
          </a:r>
          <a:endParaRPr lang="en-US" sz="1200" b="1">
            <a:solidFill>
              <a:sysClr val="windowText" lastClr="000000"/>
            </a:solidFill>
          </a:endParaRPr>
        </a:p>
        <a:p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=DAVERAGE(DatabaseRange,FieldName,CriteriaRange)</a:t>
          </a:r>
        </a:p>
        <a:p>
          <a:endParaRPr lang="en-US" sz="11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DatabaseRange is the entire list of information you need to examine, including the field names at the top of the columns.</a:t>
          </a:r>
        </a:p>
        <a:p>
          <a:endParaRPr lang="en-US" sz="1100" b="1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FieldName is the name, or cell, of the values to be averaged, such as "Unit Cost"</a:t>
          </a:r>
        </a:p>
        <a:p>
          <a:endParaRPr lang="en-US" sz="1100" b="1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</a:t>
          </a:r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CriteriaRange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is made up of two types of information.</a:t>
          </a:r>
          <a:r>
            <a:rPr lang="en-US">
              <a:solidFill>
                <a:sysClr val="windowText" lastClr="000000"/>
              </a:solidFill>
              <a:latin typeface="+mj-lt"/>
            </a:rPr>
            <a:t>  </a:t>
          </a:r>
        </a:p>
        <a:p>
          <a:r>
            <a:rPr lang="en-US" sz="11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>
              <a:solidFill>
                <a:sysClr val="windowText" lastClr="000000"/>
              </a:solidFill>
              <a:latin typeface="+mj-lt"/>
            </a:rPr>
            <a:t>first set 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of information is the name, or names, of the Fields(s) to be used as the basis for selecting the records</a:t>
          </a:r>
        </a:p>
        <a:p>
          <a:r>
            <a:rPr lang="en-US" sz="1100" baseline="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 baseline="0">
              <a:solidFill>
                <a:sysClr val="windowText" lastClr="000000"/>
              </a:solidFill>
              <a:latin typeface="+mj-lt"/>
            </a:rPr>
            <a:t>second set 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of information is the actual record, or records, which are to be selected.</a:t>
          </a:r>
          <a:endParaRPr lang="en-US" sz="1100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16</xdr:col>
      <xdr:colOff>38100</xdr:colOff>
      <xdr:row>15</xdr:row>
      <xdr:rowOff>163842</xdr:rowOff>
    </xdr:to>
    <xdr:sp macro="" textlink="">
      <xdr:nvSpPr>
        <xdr:cNvPr id="2" name="TextBox 1"/>
        <xdr:cNvSpPr txBox="1"/>
      </xdr:nvSpPr>
      <xdr:spPr>
        <a:xfrm>
          <a:off x="609600" y="571500"/>
          <a:ext cx="9182100" cy="24574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examines a list of information and produces the total.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Syntax</a:t>
          </a:r>
        </a:p>
        <a:p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=DSUM(DatabaseRange,FieldName,CriteriaRange)</a:t>
          </a:r>
        </a:p>
        <a:p>
          <a:endParaRPr lang="en-US" sz="11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DatabaseRange is the entire list of information you need to examine, including the field names at the top of the columns.</a:t>
          </a:r>
        </a:p>
        <a:p>
          <a:endParaRPr lang="en-US" sz="1100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FieldName is the name, or cell, of the values to be averaged, such as "Unit Cost"</a:t>
          </a:r>
        </a:p>
        <a:p>
          <a:endParaRPr lang="en-US" sz="1100" b="1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</a:t>
          </a:r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CriteriaRange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is made up of two types of information.</a:t>
          </a:r>
          <a:r>
            <a:rPr lang="en-US">
              <a:solidFill>
                <a:sysClr val="windowText" lastClr="000000"/>
              </a:solidFill>
              <a:latin typeface="+mj-lt"/>
            </a:rPr>
            <a:t>  </a:t>
          </a:r>
        </a:p>
        <a:p>
          <a:r>
            <a:rPr lang="en-US" sz="11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>
              <a:solidFill>
                <a:sysClr val="windowText" lastClr="000000"/>
              </a:solidFill>
              <a:latin typeface="+mj-lt"/>
            </a:rPr>
            <a:t>first set 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of information is the name, or names, of the Fields(s) to be used as the basis for selecting the records</a:t>
          </a:r>
        </a:p>
        <a:p>
          <a:r>
            <a:rPr lang="en-US" sz="1100" baseline="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 baseline="0">
              <a:solidFill>
                <a:sysClr val="windowText" lastClr="000000"/>
              </a:solidFill>
              <a:latin typeface="+mj-lt"/>
            </a:rPr>
            <a:t>second set 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of information is the actual record, or records, which are to be selected</a:t>
          </a:r>
          <a:endParaRPr lang="en-US" sz="1100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182879</xdr:rowOff>
    </xdr:from>
    <xdr:to>
      <xdr:col>17</xdr:col>
      <xdr:colOff>228600</xdr:colOff>
      <xdr:row>12</xdr:row>
      <xdr:rowOff>85765</xdr:rowOff>
    </xdr:to>
    <xdr:sp macro="" textlink="">
      <xdr:nvSpPr>
        <xdr:cNvPr id="2" name="TextBox 1"/>
        <xdr:cNvSpPr txBox="1"/>
      </xdr:nvSpPr>
      <xdr:spPr>
        <a:xfrm>
          <a:off x="4400550" y="1343024"/>
          <a:ext cx="7543800" cy="121920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Calculates the payment for a loan based on constant payments and a constant interest rate.</a:t>
          </a:r>
        </a:p>
        <a:p>
          <a:r>
            <a:rPr lang="en-US" b="1">
              <a:latin typeface="+mj-lt"/>
            </a:rPr>
            <a:t>Syntax</a:t>
          </a:r>
          <a:endParaRPr lang="en-US">
            <a:latin typeface="+mj-lt"/>
          </a:endParaRPr>
        </a:p>
        <a:p>
          <a:r>
            <a:rPr lang="en-US" b="1">
              <a:latin typeface="+mj-lt"/>
            </a:rPr>
            <a:t>PMT</a:t>
          </a:r>
          <a:r>
            <a:rPr lang="en-US">
              <a:latin typeface="+mj-lt"/>
            </a:rPr>
            <a:t>(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)</a:t>
          </a:r>
        </a:p>
        <a:p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   is the interest rate for the loan.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   is the total number of payments for the loan.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   is the present value, or the total amount that a series of future payments is worth now; also known as the principal.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9525</xdr:colOff>
      <xdr:row>14</xdr:row>
      <xdr:rowOff>11429</xdr:rowOff>
    </xdr:from>
    <xdr:to>
      <xdr:col>17</xdr:col>
      <xdr:colOff>257175</xdr:colOff>
      <xdr:row>22</xdr:row>
      <xdr:rowOff>106680</xdr:rowOff>
    </xdr:to>
    <xdr:sp macro="" textlink="">
      <xdr:nvSpPr>
        <xdr:cNvPr id="3" name="TextBox 2"/>
        <xdr:cNvSpPr txBox="1"/>
      </xdr:nvSpPr>
      <xdr:spPr>
        <a:xfrm>
          <a:off x="3962400" y="2876549"/>
          <a:ext cx="7562850" cy="18097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>
              <a:latin typeface="+mj-lt"/>
            </a:rPr>
            <a:t>Returns the payment on the principal for a given period for an investment based on periodic, constant payments and a constant interest rate.</a:t>
          </a:r>
        </a:p>
        <a:p>
          <a:pPr>
            <a:lnSpc>
              <a:spcPts val="1200"/>
            </a:lnSpc>
          </a:pPr>
          <a:r>
            <a:rPr lang="en-US" b="1">
              <a:latin typeface="+mj-lt"/>
            </a:rPr>
            <a:t>Syntax</a:t>
          </a:r>
          <a:endParaRPr lang="en-US">
            <a:latin typeface="+mj-lt"/>
          </a:endParaRPr>
        </a:p>
        <a:p>
          <a:pPr>
            <a:lnSpc>
              <a:spcPts val="1200"/>
            </a:lnSpc>
          </a:pPr>
          <a:r>
            <a:rPr lang="en-US" b="1">
              <a:latin typeface="+mj-lt"/>
            </a:rPr>
            <a:t>PPMT</a:t>
          </a:r>
          <a:r>
            <a:rPr lang="en-US">
              <a:latin typeface="+mj-lt"/>
            </a:rPr>
            <a:t>(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)</a:t>
          </a: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   is the interest rate for the loan.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+mj-lt"/>
            </a:rPr>
            <a:t>**Per</a:t>
          </a:r>
          <a:r>
            <a:rPr lang="en-US">
              <a:latin typeface="+mj-lt"/>
            </a:rPr>
            <a:t>   specifies the period and must be in the range 1 to nper.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   is the total number of payments for the loan.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   is the present value, or the total amount that a series of future payments is worth now; also known as the principal.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</xdr:txBody>
    </xdr:sp>
    <xdr:clientData/>
  </xdr:twoCellAnchor>
  <xdr:twoCellAnchor>
    <xdr:from>
      <xdr:col>4</xdr:col>
      <xdr:colOff>600075</xdr:colOff>
      <xdr:row>23</xdr:row>
      <xdr:rowOff>38100</xdr:rowOff>
    </xdr:from>
    <xdr:to>
      <xdr:col>17</xdr:col>
      <xdr:colOff>238125</xdr:colOff>
      <xdr:row>30</xdr:row>
      <xdr:rowOff>154317</xdr:rowOff>
    </xdr:to>
    <xdr:sp macro="" textlink="">
      <xdr:nvSpPr>
        <xdr:cNvPr id="4" name="TextBox 3"/>
        <xdr:cNvSpPr txBox="1"/>
      </xdr:nvSpPr>
      <xdr:spPr>
        <a:xfrm>
          <a:off x="3943350" y="4619625"/>
          <a:ext cx="7562850" cy="16192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>
              <a:latin typeface="+mj-lt"/>
            </a:rPr>
            <a:t>Returns the payment on the interest principal for a given period for an investment based on periodic, constant payments and a constant interest rate.</a:t>
          </a:r>
        </a:p>
        <a:p>
          <a:pPr>
            <a:lnSpc>
              <a:spcPts val="1100"/>
            </a:lnSpc>
          </a:pPr>
          <a:r>
            <a:rPr lang="en-US" b="1">
              <a:latin typeface="+mj-lt"/>
            </a:rPr>
            <a:t>Syntax</a:t>
          </a:r>
          <a:endParaRPr lang="en-US">
            <a:latin typeface="+mj-lt"/>
          </a:endParaRPr>
        </a:p>
        <a:p>
          <a:pPr>
            <a:lnSpc>
              <a:spcPts val="1000"/>
            </a:lnSpc>
          </a:pPr>
          <a:r>
            <a:rPr lang="en-US" b="1">
              <a:latin typeface="+mj-lt"/>
            </a:rPr>
            <a:t>IPMT</a:t>
          </a:r>
          <a:r>
            <a:rPr lang="en-US">
              <a:latin typeface="+mj-lt"/>
            </a:rPr>
            <a:t>(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)</a:t>
          </a:r>
        </a:p>
        <a:p>
          <a:pPr>
            <a:lnSpc>
              <a:spcPts val="1000"/>
            </a:lnSpc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   is the interest rate for the loan.</a:t>
          </a:r>
        </a:p>
        <a:p>
          <a:pPr marL="0" marR="0" indent="0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+mj-lt"/>
            </a:rPr>
            <a:t>**Per</a:t>
          </a:r>
          <a:r>
            <a:rPr lang="en-US">
              <a:latin typeface="+mj-lt"/>
            </a:rPr>
            <a:t>   specifies the period and must be in the range 1 to nper.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   is the total number of payments for the loan.</a:t>
          </a:r>
        </a:p>
        <a:p>
          <a:pPr marL="0" marR="0" indent="0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   is the present value, or the total amount that a series of future payments is worth now; also known as the principal.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EETA\advance%20excel%20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EETA\advance%20excel%20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2613.453333912039" createdVersion="1" refreshedVersion="4" recordCount="5" upgradeOnRefresh="1">
  <cacheSource type="worksheet">
    <worksheetSource ref="F22:I27" sheet="Concatenate" r:id="rId2"/>
  </cacheSource>
  <cacheFields count="4">
    <cacheField name="name " numFmtId="0">
      <sharedItems count="5">
        <s v="rakesh"/>
        <s v="raj"/>
        <s v="rajesh"/>
        <s v="ram"/>
        <s v="ramesh"/>
      </sharedItems>
    </cacheField>
    <cacheField name="dept" numFmtId="0">
      <sharedItems count="2">
        <s v="sales"/>
        <s v="marketing"/>
      </sharedItems>
    </cacheField>
    <cacheField name="manager" numFmtId="0">
      <sharedItems/>
    </cacheField>
    <cacheField name="salary" numFmtId="0">
      <sharedItems containsSemiMixedTypes="0" containsString="0" containsNumber="1" containsInteger="1" minValue="251" maxValue="4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3895.859653125" createdVersion="1" refreshedVersion="4" recordCount="11" upgradeOnRefresh="1">
  <cacheSource type="worksheet">
    <worksheetSource ref="B6:E17" sheet="Pivot Table Data" r:id="rId2"/>
  </cacheSource>
  <cacheFields count="4">
    <cacheField name="Salesman" numFmtId="0">
      <sharedItems count="8">
        <s v="Himanshu"/>
        <s v="Deepak"/>
        <s v="Ritesh"/>
        <s v="Pankaj"/>
        <s v="Bhushan"/>
        <s v="Sachin"/>
        <s v="Hasan"/>
        <s v="Krunal"/>
      </sharedItems>
    </cacheField>
    <cacheField name="Area" numFmtId="0">
      <sharedItems count="8">
        <s v="Chembur"/>
        <s v="Dadar"/>
        <s v="Vashi"/>
        <s v="Bandra"/>
        <s v="Juhu"/>
        <s v="Kurla"/>
        <s v="Panvel"/>
        <s v="Andheri"/>
      </sharedItems>
    </cacheField>
    <cacheField name="Product" numFmtId="0">
      <sharedItems count="4">
        <s v="Microwave"/>
        <s v="VCR"/>
        <s v="I-Pod"/>
        <s v="Mobile"/>
      </sharedItems>
    </cacheField>
    <cacheField name="Total Sales" numFmtId="0">
      <sharedItems containsSemiMixedTypes="0" containsString="0" containsNumber="1" containsInteger="1" minValue="3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s v="jeff "/>
    <n v="4581"/>
  </r>
  <r>
    <x v="1"/>
    <x v="1"/>
    <s v="hardy"/>
    <n v="251"/>
  </r>
  <r>
    <x v="2"/>
    <x v="0"/>
    <s v="hardy"/>
    <n v="2511"/>
  </r>
  <r>
    <x v="3"/>
    <x v="1"/>
    <s v="jeff "/>
    <n v="544"/>
  </r>
  <r>
    <x v="4"/>
    <x v="0"/>
    <s v="hardy"/>
    <n v="22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">
  <r>
    <x v="0"/>
    <x v="0"/>
    <x v="0"/>
    <n v="4"/>
  </r>
  <r>
    <x v="0"/>
    <x v="1"/>
    <x v="1"/>
    <n v="5"/>
  </r>
  <r>
    <x v="1"/>
    <x v="1"/>
    <x v="2"/>
    <n v="3"/>
  </r>
  <r>
    <x v="1"/>
    <x v="2"/>
    <x v="2"/>
    <n v="6"/>
  </r>
  <r>
    <x v="2"/>
    <x v="3"/>
    <x v="0"/>
    <n v="7"/>
  </r>
  <r>
    <x v="3"/>
    <x v="4"/>
    <x v="3"/>
    <n v="4"/>
  </r>
  <r>
    <x v="4"/>
    <x v="5"/>
    <x v="3"/>
    <n v="5"/>
  </r>
  <r>
    <x v="5"/>
    <x v="0"/>
    <x v="1"/>
    <n v="6"/>
  </r>
  <r>
    <x v="6"/>
    <x v="2"/>
    <x v="2"/>
    <n v="7"/>
  </r>
  <r>
    <x v="7"/>
    <x v="6"/>
    <x v="2"/>
    <n v="8"/>
  </r>
  <r>
    <x v="7"/>
    <x v="7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G15:J47" firstHeaderRow="2" firstDataRow="2" firstDataCol="3"/>
  <pivotFields count="4">
    <pivotField axis="axisRow" compact="0" outline="0" subtotalTop="0" showAll="0" includeNewItemsInFilter="1">
      <items count="9">
        <item x="4"/>
        <item x="1"/>
        <item x="6"/>
        <item x="0"/>
        <item x="7"/>
        <item x="3"/>
        <item x="2"/>
        <item x="5"/>
        <item t="default"/>
      </items>
    </pivotField>
    <pivotField axis="axisRow" compact="0" outline="0" subtotalTop="0" showAll="0" includeNewItemsInFilter="1">
      <items count="9">
        <item x="7"/>
        <item x="3"/>
        <item x="0"/>
        <item x="1"/>
        <item x="4"/>
        <item x="5"/>
        <item x="6"/>
        <item x="2"/>
        <item t="default"/>
      </items>
    </pivotField>
    <pivotField axis="axisRow" compact="0" outline="0" subtotalTop="0" showAll="0" includeNewItemsInFilter="1">
      <items count="5">
        <item x="2"/>
        <item x="0"/>
        <item x="3"/>
        <item x="1"/>
        <item t="default"/>
      </items>
    </pivotField>
    <pivotField dataField="1" compact="0" outline="0" subtotalTop="0" showAll="0" includeNewItemsInFilter="1"/>
  </pivotFields>
  <rowFields count="3">
    <field x="0"/>
    <field x="1"/>
    <field x="2"/>
  </rowFields>
  <rowItems count="31">
    <i>
      <x/>
      <x v="5"/>
      <x v="2"/>
    </i>
    <i t="default" r="1">
      <x v="5"/>
    </i>
    <i t="default">
      <x/>
    </i>
    <i>
      <x v="1"/>
      <x v="3"/>
      <x/>
    </i>
    <i t="default" r="1">
      <x v="3"/>
    </i>
    <i r="1">
      <x v="7"/>
      <x/>
    </i>
    <i t="default" r="1">
      <x v="7"/>
    </i>
    <i t="default">
      <x v="1"/>
    </i>
    <i>
      <x v="2"/>
      <x v="7"/>
      <x/>
    </i>
    <i t="default" r="1">
      <x v="7"/>
    </i>
    <i t="default">
      <x v="2"/>
    </i>
    <i>
      <x v="3"/>
      <x v="2"/>
      <x v="1"/>
    </i>
    <i t="default" r="1">
      <x v="2"/>
    </i>
    <i r="1">
      <x v="3"/>
      <x v="3"/>
    </i>
    <i t="default" r="1">
      <x v="3"/>
    </i>
    <i t="default">
      <x v="3"/>
    </i>
    <i>
      <x v="4"/>
      <x/>
      <x v="3"/>
    </i>
    <i t="default" r="1">
      <x/>
    </i>
    <i r="1">
      <x v="6"/>
      <x/>
    </i>
    <i t="default" r="1">
      <x v="6"/>
    </i>
    <i t="default">
      <x v="4"/>
    </i>
    <i>
      <x v="5"/>
      <x v="4"/>
      <x v="2"/>
    </i>
    <i t="default" r="1">
      <x v="4"/>
    </i>
    <i t="default">
      <x v="5"/>
    </i>
    <i>
      <x v="6"/>
      <x v="1"/>
      <x v="1"/>
    </i>
    <i t="default" r="1">
      <x v="1"/>
    </i>
    <i t="default">
      <x v="6"/>
    </i>
    <i>
      <x v="7"/>
      <x v="2"/>
      <x v="3"/>
    </i>
    <i t="default" r="1">
      <x v="2"/>
    </i>
    <i t="default">
      <x v="7"/>
    </i>
    <i t="grand">
      <x/>
    </i>
  </rowItems>
  <colItems count="1">
    <i/>
  </colItems>
  <dataFields count="1">
    <dataField name="Sum of Total Sales" fld="3" baseField="0" baseItem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ata" updatedVersion="5" showMemberPropertyTips="0" useAutoFormatting="1" itemPrintTitles="1" createdVersion="1" indent="0" compact="0" compactData="0" gridDropZones="1">
  <location ref="F29:I35" firstHeaderRow="1" firstDataRow="2" firstDataCol="2"/>
  <pivotFields count="4">
    <pivotField axis="axisRow" compact="0" outline="0" subtotalTop="0" showAll="0" includeNewItemsInFilter="1">
      <items count="6">
        <item h="1" x="1"/>
        <item x="2"/>
        <item h="1" x="0"/>
        <item x="3"/>
        <item h="1" x="4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dataField="1" compact="0" outline="0" subtotalTop="0" showAll="0" includeNewItemsInFilter="1"/>
  </pivotFields>
  <rowFields count="2">
    <field x="0"/>
    <field x="1"/>
  </rowFields>
  <rowItems count="5">
    <i>
      <x v="1"/>
      <x v="1"/>
    </i>
    <i t="default">
      <x v="1"/>
    </i>
    <i>
      <x v="3"/>
      <x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3" baseField="0" baseItem="0"/>
    <dataField name="Average of salary2" fld="3" subtotal="average" baseField="1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5:J47"/>
  <sheetViews>
    <sheetView topLeftCell="A10" workbookViewId="0">
      <selection activeCell="C11" sqref="C11"/>
    </sheetView>
  </sheetViews>
  <sheetFormatPr defaultRowHeight="15" x14ac:dyDescent="0.25"/>
  <cols>
    <col min="2" max="2" width="10.85546875" customWidth="1"/>
    <col min="4" max="4" width="10.7109375" bestFit="1" customWidth="1"/>
    <col min="5" max="5" width="10.42578125" bestFit="1" customWidth="1"/>
    <col min="7" max="7" width="10.85546875" bestFit="1" customWidth="1"/>
    <col min="8" max="8" width="8.28515625" customWidth="1"/>
    <col min="9" max="9" width="10.140625" bestFit="1" customWidth="1"/>
    <col min="10" max="10" width="5.28515625" customWidth="1"/>
  </cols>
  <sheetData>
    <row r="5" spans="2:10" ht="15.75" thickBot="1" x14ac:dyDescent="0.3"/>
    <row r="6" spans="2:10" ht="15.75" thickBot="1" x14ac:dyDescent="0.3">
      <c r="B6" s="30" t="s">
        <v>67</v>
      </c>
      <c r="C6" s="29" t="s">
        <v>66</v>
      </c>
      <c r="D6" s="29" t="s">
        <v>39</v>
      </c>
      <c r="E6" s="28" t="s">
        <v>65</v>
      </c>
    </row>
    <row r="7" spans="2:10" x14ac:dyDescent="0.25">
      <c r="B7" s="27" t="s">
        <v>64</v>
      </c>
      <c r="C7" s="27" t="s">
        <v>52</v>
      </c>
      <c r="D7" s="27" t="s">
        <v>59</v>
      </c>
      <c r="E7" s="27">
        <v>4</v>
      </c>
    </row>
    <row r="8" spans="2:10" x14ac:dyDescent="0.25">
      <c r="B8" s="26" t="s">
        <v>64</v>
      </c>
      <c r="C8" s="26" t="s">
        <v>63</v>
      </c>
      <c r="D8" s="26" t="s">
        <v>45</v>
      </c>
      <c r="E8" s="26">
        <v>5</v>
      </c>
    </row>
    <row r="9" spans="2:10" x14ac:dyDescent="0.25">
      <c r="B9" s="26" t="s">
        <v>62</v>
      </c>
      <c r="C9" s="26" t="s">
        <v>63</v>
      </c>
      <c r="D9" s="26" t="s">
        <v>48</v>
      </c>
      <c r="E9" s="26">
        <v>3</v>
      </c>
    </row>
    <row r="10" spans="2:10" x14ac:dyDescent="0.25">
      <c r="B10" s="26" t="s">
        <v>62</v>
      </c>
      <c r="C10" s="26" t="s">
        <v>50</v>
      </c>
      <c r="D10" s="26" t="s">
        <v>48</v>
      </c>
      <c r="E10" s="26">
        <v>6</v>
      </c>
    </row>
    <row r="11" spans="2:10" x14ac:dyDescent="0.25">
      <c r="B11" s="26" t="s">
        <v>61</v>
      </c>
      <c r="C11" s="26" t="s">
        <v>60</v>
      </c>
      <c r="D11" s="26" t="s">
        <v>59</v>
      </c>
      <c r="E11" s="26">
        <v>7</v>
      </c>
    </row>
    <row r="12" spans="2:10" x14ac:dyDescent="0.25">
      <c r="B12" s="26" t="s">
        <v>58</v>
      </c>
      <c r="C12" s="26" t="s">
        <v>57</v>
      </c>
      <c r="D12" s="26" t="s">
        <v>54</v>
      </c>
      <c r="E12" s="26">
        <v>4</v>
      </c>
    </row>
    <row r="13" spans="2:10" x14ac:dyDescent="0.25">
      <c r="B13" s="26" t="s">
        <v>56</v>
      </c>
      <c r="C13" s="26" t="s">
        <v>55</v>
      </c>
      <c r="D13" s="26" t="s">
        <v>54</v>
      </c>
      <c r="E13" s="26">
        <v>5</v>
      </c>
    </row>
    <row r="14" spans="2:10" x14ac:dyDescent="0.25">
      <c r="B14" s="26" t="s">
        <v>53</v>
      </c>
      <c r="C14" s="26" t="s">
        <v>52</v>
      </c>
      <c r="D14" s="26" t="s">
        <v>45</v>
      </c>
      <c r="E14" s="26">
        <v>6</v>
      </c>
    </row>
    <row r="15" spans="2:10" x14ac:dyDescent="0.25">
      <c r="B15" s="26" t="s">
        <v>51</v>
      </c>
      <c r="C15" s="26" t="s">
        <v>50</v>
      </c>
      <c r="D15" s="26" t="s">
        <v>48</v>
      </c>
      <c r="E15" s="26">
        <v>7</v>
      </c>
      <c r="G15" s="172" t="s">
        <v>259</v>
      </c>
      <c r="H15" s="170"/>
      <c r="I15" s="170"/>
      <c r="J15" s="175"/>
    </row>
    <row r="16" spans="2:10" x14ac:dyDescent="0.25">
      <c r="B16" s="26" t="s">
        <v>47</v>
      </c>
      <c r="C16" s="26" t="s">
        <v>49</v>
      </c>
      <c r="D16" s="26" t="s">
        <v>48</v>
      </c>
      <c r="E16" s="26">
        <v>8</v>
      </c>
      <c r="G16" s="172" t="s">
        <v>67</v>
      </c>
      <c r="H16" s="172" t="s">
        <v>66</v>
      </c>
      <c r="I16" s="172" t="s">
        <v>39</v>
      </c>
      <c r="J16" s="175" t="s">
        <v>23</v>
      </c>
    </row>
    <row r="17" spans="2:10" x14ac:dyDescent="0.25">
      <c r="B17" s="26" t="s">
        <v>47</v>
      </c>
      <c r="C17" s="26" t="s">
        <v>46</v>
      </c>
      <c r="D17" s="26" t="s">
        <v>45</v>
      </c>
      <c r="E17" s="26">
        <v>5</v>
      </c>
      <c r="G17" s="169" t="s">
        <v>56</v>
      </c>
      <c r="H17" s="169" t="s">
        <v>55</v>
      </c>
      <c r="I17" s="169" t="s">
        <v>54</v>
      </c>
      <c r="J17" s="176">
        <v>5</v>
      </c>
    </row>
    <row r="18" spans="2:10" x14ac:dyDescent="0.25">
      <c r="G18" s="171"/>
      <c r="H18" s="169" t="s">
        <v>251</v>
      </c>
      <c r="I18" s="170"/>
      <c r="J18" s="176">
        <v>5</v>
      </c>
    </row>
    <row r="19" spans="2:10" x14ac:dyDescent="0.25">
      <c r="G19" s="169" t="s">
        <v>243</v>
      </c>
      <c r="H19" s="170"/>
      <c r="I19" s="170"/>
      <c r="J19" s="176">
        <v>5</v>
      </c>
    </row>
    <row r="20" spans="2:10" x14ac:dyDescent="0.25">
      <c r="G20" s="169" t="s">
        <v>62</v>
      </c>
      <c r="H20" s="169" t="s">
        <v>63</v>
      </c>
      <c r="I20" s="169" t="s">
        <v>48</v>
      </c>
      <c r="J20" s="176">
        <v>3</v>
      </c>
    </row>
    <row r="21" spans="2:10" x14ac:dyDescent="0.25">
      <c r="G21" s="171"/>
      <c r="H21" s="169" t="s">
        <v>252</v>
      </c>
      <c r="I21" s="170"/>
      <c r="J21" s="176">
        <v>3</v>
      </c>
    </row>
    <row r="22" spans="2:10" x14ac:dyDescent="0.25">
      <c r="G22" s="171"/>
      <c r="H22" s="169" t="s">
        <v>50</v>
      </c>
      <c r="I22" s="169" t="s">
        <v>48</v>
      </c>
      <c r="J22" s="176">
        <v>6</v>
      </c>
    </row>
    <row r="23" spans="2:10" x14ac:dyDescent="0.25">
      <c r="G23" s="171"/>
      <c r="H23" s="169" t="s">
        <v>253</v>
      </c>
      <c r="I23" s="170"/>
      <c r="J23" s="176">
        <v>6</v>
      </c>
    </row>
    <row r="24" spans="2:10" x14ac:dyDescent="0.25">
      <c r="G24" s="169" t="s">
        <v>244</v>
      </c>
      <c r="H24" s="170"/>
      <c r="I24" s="170"/>
      <c r="J24" s="176">
        <v>9</v>
      </c>
    </row>
    <row r="25" spans="2:10" x14ac:dyDescent="0.25">
      <c r="G25" s="169" t="s">
        <v>51</v>
      </c>
      <c r="H25" s="169" t="s">
        <v>50</v>
      </c>
      <c r="I25" s="169" t="s">
        <v>48</v>
      </c>
      <c r="J25" s="176">
        <v>7</v>
      </c>
    </row>
    <row r="26" spans="2:10" x14ac:dyDescent="0.25">
      <c r="G26" s="171"/>
      <c r="H26" s="169" t="s">
        <v>253</v>
      </c>
      <c r="I26" s="170"/>
      <c r="J26" s="176">
        <v>7</v>
      </c>
    </row>
    <row r="27" spans="2:10" x14ac:dyDescent="0.25">
      <c r="G27" s="169" t="s">
        <v>245</v>
      </c>
      <c r="H27" s="170"/>
      <c r="I27" s="170"/>
      <c r="J27" s="176">
        <v>7</v>
      </c>
    </row>
    <row r="28" spans="2:10" x14ac:dyDescent="0.25">
      <c r="G28" s="169" t="s">
        <v>64</v>
      </c>
      <c r="H28" s="169" t="s">
        <v>52</v>
      </c>
      <c r="I28" s="169" t="s">
        <v>59</v>
      </c>
      <c r="J28" s="176">
        <v>4</v>
      </c>
    </row>
    <row r="29" spans="2:10" x14ac:dyDescent="0.25">
      <c r="G29" s="171"/>
      <c r="H29" s="169" t="s">
        <v>254</v>
      </c>
      <c r="I29" s="170"/>
      <c r="J29" s="176">
        <v>4</v>
      </c>
    </row>
    <row r="30" spans="2:10" x14ac:dyDescent="0.25">
      <c r="G30" s="171"/>
      <c r="H30" s="169" t="s">
        <v>63</v>
      </c>
      <c r="I30" s="169" t="s">
        <v>45</v>
      </c>
      <c r="J30" s="176">
        <v>5</v>
      </c>
    </row>
    <row r="31" spans="2:10" x14ac:dyDescent="0.25">
      <c r="G31" s="171"/>
      <c r="H31" s="169" t="s">
        <v>252</v>
      </c>
      <c r="I31" s="170"/>
      <c r="J31" s="176">
        <v>5</v>
      </c>
    </row>
    <row r="32" spans="2:10" x14ac:dyDescent="0.25">
      <c r="G32" s="169" t="s">
        <v>246</v>
      </c>
      <c r="H32" s="170"/>
      <c r="I32" s="170"/>
      <c r="J32" s="176">
        <v>9</v>
      </c>
    </row>
    <row r="33" spans="7:10" x14ac:dyDescent="0.25">
      <c r="G33" s="169" t="s">
        <v>47</v>
      </c>
      <c r="H33" s="169" t="s">
        <v>46</v>
      </c>
      <c r="I33" s="169" t="s">
        <v>45</v>
      </c>
      <c r="J33" s="176">
        <v>5</v>
      </c>
    </row>
    <row r="34" spans="7:10" x14ac:dyDescent="0.25">
      <c r="G34" s="171"/>
      <c r="H34" s="169" t="s">
        <v>255</v>
      </c>
      <c r="I34" s="170"/>
      <c r="J34" s="176">
        <v>5</v>
      </c>
    </row>
    <row r="35" spans="7:10" x14ac:dyDescent="0.25">
      <c r="G35" s="171"/>
      <c r="H35" s="169" t="s">
        <v>49</v>
      </c>
      <c r="I35" s="169" t="s">
        <v>48</v>
      </c>
      <c r="J35" s="176">
        <v>8</v>
      </c>
    </row>
    <row r="36" spans="7:10" x14ac:dyDescent="0.25">
      <c r="G36" s="171"/>
      <c r="H36" s="169" t="s">
        <v>256</v>
      </c>
      <c r="I36" s="170"/>
      <c r="J36" s="176">
        <v>8</v>
      </c>
    </row>
    <row r="37" spans="7:10" x14ac:dyDescent="0.25">
      <c r="G37" s="169" t="s">
        <v>247</v>
      </c>
      <c r="H37" s="170"/>
      <c r="I37" s="170"/>
      <c r="J37" s="176">
        <v>13</v>
      </c>
    </row>
    <row r="38" spans="7:10" x14ac:dyDescent="0.25">
      <c r="G38" s="169" t="s">
        <v>58</v>
      </c>
      <c r="H38" s="169" t="s">
        <v>57</v>
      </c>
      <c r="I38" s="169" t="s">
        <v>54</v>
      </c>
      <c r="J38" s="176">
        <v>4</v>
      </c>
    </row>
    <row r="39" spans="7:10" x14ac:dyDescent="0.25">
      <c r="G39" s="171"/>
      <c r="H39" s="169" t="s">
        <v>257</v>
      </c>
      <c r="I39" s="170"/>
      <c r="J39" s="176">
        <v>4</v>
      </c>
    </row>
    <row r="40" spans="7:10" x14ac:dyDescent="0.25">
      <c r="G40" s="169" t="s">
        <v>248</v>
      </c>
      <c r="H40" s="170"/>
      <c r="I40" s="170"/>
      <c r="J40" s="176">
        <v>4</v>
      </c>
    </row>
    <row r="41" spans="7:10" x14ac:dyDescent="0.25">
      <c r="G41" s="169" t="s">
        <v>61</v>
      </c>
      <c r="H41" s="169" t="s">
        <v>60</v>
      </c>
      <c r="I41" s="169" t="s">
        <v>59</v>
      </c>
      <c r="J41" s="176">
        <v>7</v>
      </c>
    </row>
    <row r="42" spans="7:10" x14ac:dyDescent="0.25">
      <c r="G42" s="171"/>
      <c r="H42" s="169" t="s">
        <v>258</v>
      </c>
      <c r="I42" s="170"/>
      <c r="J42" s="176">
        <v>7</v>
      </c>
    </row>
    <row r="43" spans="7:10" x14ac:dyDescent="0.25">
      <c r="G43" s="169" t="s">
        <v>249</v>
      </c>
      <c r="H43" s="170"/>
      <c r="I43" s="170"/>
      <c r="J43" s="176">
        <v>7</v>
      </c>
    </row>
    <row r="44" spans="7:10" x14ac:dyDescent="0.25">
      <c r="G44" s="169" t="s">
        <v>53</v>
      </c>
      <c r="H44" s="169" t="s">
        <v>52</v>
      </c>
      <c r="I44" s="169" t="s">
        <v>45</v>
      </c>
      <c r="J44" s="176">
        <v>6</v>
      </c>
    </row>
    <row r="45" spans="7:10" x14ac:dyDescent="0.25">
      <c r="G45" s="171"/>
      <c r="H45" s="169" t="s">
        <v>254</v>
      </c>
      <c r="I45" s="170"/>
      <c r="J45" s="176">
        <v>6</v>
      </c>
    </row>
    <row r="46" spans="7:10" x14ac:dyDescent="0.25">
      <c r="G46" s="169" t="s">
        <v>250</v>
      </c>
      <c r="H46" s="170"/>
      <c r="I46" s="170"/>
      <c r="J46" s="176">
        <v>6</v>
      </c>
    </row>
    <row r="47" spans="7:10" x14ac:dyDescent="0.25">
      <c r="G47" s="173" t="s">
        <v>223</v>
      </c>
      <c r="H47" s="174"/>
      <c r="I47" s="174"/>
      <c r="J47" s="177">
        <v>60</v>
      </c>
    </row>
  </sheetData>
  <pageMargins left="0.7" right="0.7" top="0.75" bottom="0.75" header="0.3" footer="0.3"/>
  <pageSetup orientation="portrait" horizontalDpi="2400" verticalDpi="24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14:E48"/>
  <sheetViews>
    <sheetView showRowColHeaders="0" zoomScaleNormal="100" zoomScaleSheetLayoutView="100" workbookViewId="0">
      <selection activeCell="F45" sqref="F45"/>
    </sheetView>
  </sheetViews>
  <sheetFormatPr defaultRowHeight="15" x14ac:dyDescent="0.25"/>
  <cols>
    <col min="2" max="2" width="13.140625" bestFit="1" customWidth="1"/>
    <col min="3" max="3" width="7.5703125" bestFit="1" customWidth="1"/>
    <col min="5" max="5" width="13.140625" bestFit="1" customWidth="1"/>
  </cols>
  <sheetData>
    <row r="14" spans="2:5" x14ac:dyDescent="0.25">
      <c r="B14" s="1" t="s">
        <v>0</v>
      </c>
      <c r="C14" s="1" t="s">
        <v>1</v>
      </c>
      <c r="D14" s="1" t="s">
        <v>2</v>
      </c>
      <c r="E14" s="1" t="s">
        <v>3</v>
      </c>
    </row>
    <row r="15" spans="2:5" x14ac:dyDescent="0.25">
      <c r="B15" s="19" t="s">
        <v>4</v>
      </c>
      <c r="C15" s="19">
        <v>5000</v>
      </c>
      <c r="D15" s="19">
        <v>5000</v>
      </c>
      <c r="E15" s="20" t="str">
        <f t="shared" ref="E15:E20" si="0">IF(C15&gt;=D15,"Achieved","Not Achieved")</f>
        <v>Achieved</v>
      </c>
    </row>
    <row r="16" spans="2:5" x14ac:dyDescent="0.25">
      <c r="B16" s="19" t="s">
        <v>5</v>
      </c>
      <c r="C16" s="19">
        <v>6000</v>
      </c>
      <c r="D16" s="19">
        <v>5000</v>
      </c>
      <c r="E16" s="20" t="str">
        <f t="shared" si="0"/>
        <v>Achieved</v>
      </c>
    </row>
    <row r="17" spans="2:5" x14ac:dyDescent="0.25">
      <c r="B17" s="19" t="s">
        <v>6</v>
      </c>
      <c r="C17" s="19">
        <v>2000</v>
      </c>
      <c r="D17" s="19">
        <v>4000</v>
      </c>
      <c r="E17" s="20" t="str">
        <f t="shared" si="0"/>
        <v>Not Achieved</v>
      </c>
    </row>
    <row r="18" spans="2:5" x14ac:dyDescent="0.25">
      <c r="B18" s="19" t="s">
        <v>7</v>
      </c>
      <c r="C18" s="21">
        <v>5000</v>
      </c>
      <c r="D18" s="21">
        <v>6000</v>
      </c>
      <c r="E18" s="20" t="str">
        <f t="shared" si="0"/>
        <v>Not Achieved</v>
      </c>
    </row>
    <row r="19" spans="2:5" x14ac:dyDescent="0.25">
      <c r="B19" s="19" t="s">
        <v>8</v>
      </c>
      <c r="C19" s="21">
        <v>4500</v>
      </c>
      <c r="D19" s="21">
        <v>5000</v>
      </c>
      <c r="E19" s="20" t="str">
        <f t="shared" si="0"/>
        <v>Not Achieved</v>
      </c>
    </row>
    <row r="20" spans="2:5" x14ac:dyDescent="0.25">
      <c r="B20" s="19" t="s">
        <v>9</v>
      </c>
      <c r="C20" s="21">
        <v>2000</v>
      </c>
      <c r="D20" s="21">
        <v>1000</v>
      </c>
      <c r="E20" s="20" t="str">
        <f t="shared" si="0"/>
        <v>Achieved</v>
      </c>
    </row>
    <row r="23" spans="2:5" x14ac:dyDescent="0.25">
      <c r="B23" s="1" t="s">
        <v>0</v>
      </c>
      <c r="C23" s="1" t="s">
        <v>1</v>
      </c>
      <c r="D23" s="1" t="s">
        <v>2</v>
      </c>
      <c r="E23" s="1" t="s">
        <v>10</v>
      </c>
    </row>
    <row r="24" spans="2:5" x14ac:dyDescent="0.25">
      <c r="B24" s="7" t="s">
        <v>4</v>
      </c>
      <c r="C24" s="7">
        <v>2000</v>
      </c>
      <c r="D24" s="7">
        <v>5000</v>
      </c>
      <c r="E24" s="22">
        <f t="shared" ref="E24:E29" si="1">IF(C24&gt;=D24,C24*10%,C24*5%)</f>
        <v>100</v>
      </c>
    </row>
    <row r="25" spans="2:5" x14ac:dyDescent="0.25">
      <c r="B25" s="7" t="s">
        <v>5</v>
      </c>
      <c r="C25" s="7">
        <v>6000</v>
      </c>
      <c r="D25" s="7">
        <v>5000</v>
      </c>
      <c r="E25" s="22">
        <f t="shared" si="1"/>
        <v>600</v>
      </c>
    </row>
    <row r="26" spans="2:5" x14ac:dyDescent="0.25">
      <c r="B26" s="7" t="s">
        <v>6</v>
      </c>
      <c r="C26" s="7">
        <v>2000</v>
      </c>
      <c r="D26" s="7">
        <v>4000</v>
      </c>
      <c r="E26" s="22">
        <f t="shared" si="1"/>
        <v>100</v>
      </c>
    </row>
    <row r="27" spans="2:5" x14ac:dyDescent="0.25">
      <c r="B27" s="7" t="s">
        <v>7</v>
      </c>
      <c r="C27" s="23">
        <v>5000</v>
      </c>
      <c r="D27" s="23">
        <v>6000</v>
      </c>
      <c r="E27" s="22">
        <f t="shared" si="1"/>
        <v>250</v>
      </c>
    </row>
    <row r="28" spans="2:5" x14ac:dyDescent="0.25">
      <c r="B28" s="7" t="s">
        <v>8</v>
      </c>
      <c r="C28" s="23">
        <v>4500</v>
      </c>
      <c r="D28" s="23">
        <v>5000</v>
      </c>
      <c r="E28" s="22">
        <f t="shared" si="1"/>
        <v>225</v>
      </c>
    </row>
    <row r="29" spans="2:5" x14ac:dyDescent="0.25">
      <c r="B29" s="7" t="s">
        <v>9</v>
      </c>
      <c r="C29" s="23">
        <v>2000</v>
      </c>
      <c r="D29" s="23">
        <v>1000</v>
      </c>
      <c r="E29" s="22">
        <f t="shared" si="1"/>
        <v>200</v>
      </c>
    </row>
    <row r="32" spans="2:5" x14ac:dyDescent="0.25">
      <c r="B32" s="1" t="s">
        <v>0</v>
      </c>
      <c r="C32" s="1" t="s">
        <v>1</v>
      </c>
      <c r="D32" s="1" t="s">
        <v>10</v>
      </c>
    </row>
    <row r="33" spans="2:4" x14ac:dyDescent="0.25">
      <c r="B33" s="7" t="s">
        <v>4</v>
      </c>
      <c r="C33" s="7">
        <v>1000</v>
      </c>
      <c r="D33" s="22">
        <f t="shared" ref="D33:D38" si="2">IF(C33&gt;=5000,C33*20%,IF(C33&gt;=4000,C33*15%,IF(C33&gt;=3000,C33*10%,C33*5%)))</f>
        <v>50</v>
      </c>
    </row>
    <row r="34" spans="2:4" x14ac:dyDescent="0.25">
      <c r="B34" s="7" t="s">
        <v>5</v>
      </c>
      <c r="C34" s="7">
        <v>6000</v>
      </c>
      <c r="D34" s="22">
        <f>IF(C34&gt;=5000,C34*20%,IF(C34&gt;=4000,C34*15%,IF(C34&gt;=3000,C34*10%,C34*5%)))</f>
        <v>1200</v>
      </c>
    </row>
    <row r="35" spans="2:4" x14ac:dyDescent="0.25">
      <c r="B35" s="7" t="s">
        <v>6</v>
      </c>
      <c r="C35" s="7">
        <v>2000</v>
      </c>
      <c r="D35" s="22">
        <f t="shared" si="2"/>
        <v>100</v>
      </c>
    </row>
    <row r="36" spans="2:4" x14ac:dyDescent="0.25">
      <c r="B36" s="7" t="s">
        <v>7</v>
      </c>
      <c r="C36" s="23">
        <v>5000</v>
      </c>
      <c r="D36" s="22">
        <f t="shared" si="2"/>
        <v>1000</v>
      </c>
    </row>
    <row r="37" spans="2:4" x14ac:dyDescent="0.25">
      <c r="B37" s="7" t="s">
        <v>8</v>
      </c>
      <c r="C37" s="23">
        <v>4500</v>
      </c>
      <c r="D37" s="22">
        <f t="shared" si="2"/>
        <v>675</v>
      </c>
    </row>
    <row r="38" spans="2:4" x14ac:dyDescent="0.25">
      <c r="B38" s="7" t="s">
        <v>9</v>
      </c>
      <c r="C38" s="23">
        <v>2000</v>
      </c>
      <c r="D38" s="22">
        <f t="shared" si="2"/>
        <v>100</v>
      </c>
    </row>
    <row r="41" spans="2:4" x14ac:dyDescent="0.25">
      <c r="B41" s="2" t="s">
        <v>11</v>
      </c>
      <c r="C41" s="2" t="s">
        <v>12</v>
      </c>
      <c r="D41" s="3" t="s">
        <v>13</v>
      </c>
    </row>
    <row r="42" spans="2:4" x14ac:dyDescent="0.25">
      <c r="B42" s="24" t="s">
        <v>14</v>
      </c>
      <c r="C42" s="25">
        <v>13</v>
      </c>
      <c r="D42" s="10" t="str">
        <f t="shared" ref="D42:D48" si="3">IF(B42="M",IF(C42&gt;=21,"E","NE"),IF(B42="F",IF(C42&gt;=18,"E","NE")))</f>
        <v>NE</v>
      </c>
    </row>
    <row r="43" spans="2:4" x14ac:dyDescent="0.25">
      <c r="B43" s="24" t="s">
        <v>14</v>
      </c>
      <c r="C43" s="25">
        <v>25</v>
      </c>
      <c r="D43" s="10" t="str">
        <f>IF(B43="M",IF(C43&gt;=21,"E","NE"),IF(B43="F",IF(C43&gt;=18,"E","NE")))</f>
        <v>E</v>
      </c>
    </row>
    <row r="44" spans="2:4" x14ac:dyDescent="0.25">
      <c r="B44" s="24" t="s">
        <v>14</v>
      </c>
      <c r="C44" s="25">
        <v>15</v>
      </c>
      <c r="D44" s="10" t="str">
        <f t="shared" si="3"/>
        <v>NE</v>
      </c>
    </row>
    <row r="45" spans="2:4" x14ac:dyDescent="0.25">
      <c r="B45" s="24" t="s">
        <v>15</v>
      </c>
      <c r="C45" s="25">
        <v>60</v>
      </c>
      <c r="D45" s="10" t="str">
        <f t="shared" si="3"/>
        <v>E</v>
      </c>
    </row>
    <row r="46" spans="2:4" x14ac:dyDescent="0.25">
      <c r="B46" s="24" t="s">
        <v>15</v>
      </c>
      <c r="C46" s="25">
        <v>12</v>
      </c>
      <c r="D46" s="10" t="str">
        <f t="shared" si="3"/>
        <v>NE</v>
      </c>
    </row>
    <row r="47" spans="2:4" x14ac:dyDescent="0.25">
      <c r="B47" s="24" t="s">
        <v>15</v>
      </c>
      <c r="C47" s="25">
        <v>65</v>
      </c>
      <c r="D47" s="10" t="str">
        <f t="shared" si="3"/>
        <v>E</v>
      </c>
    </row>
    <row r="48" spans="2:4" x14ac:dyDescent="0.25">
      <c r="B48" s="24" t="s">
        <v>14</v>
      </c>
      <c r="C48" s="25">
        <v>18</v>
      </c>
      <c r="D48" s="10" t="str">
        <f t="shared" si="3"/>
        <v>E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2:K74"/>
  <sheetViews>
    <sheetView workbookViewId="0">
      <selection activeCell="A52" sqref="A52"/>
    </sheetView>
  </sheetViews>
  <sheetFormatPr defaultRowHeight="15" x14ac:dyDescent="0.25"/>
  <cols>
    <col min="1" max="1" width="9.7109375" bestFit="1" customWidth="1"/>
    <col min="2" max="2" width="16" bestFit="1" customWidth="1"/>
    <col min="3" max="5" width="14.28515625" customWidth="1"/>
    <col min="6" max="6" width="16" bestFit="1" customWidth="1"/>
    <col min="7" max="9" width="14.28515625" customWidth="1"/>
    <col min="10" max="10" width="21" bestFit="1" customWidth="1"/>
  </cols>
  <sheetData>
    <row r="12" spans="2:9" x14ac:dyDescent="0.25">
      <c r="B12" s="1" t="s">
        <v>17</v>
      </c>
      <c r="C12" s="4" t="s">
        <v>19</v>
      </c>
      <c r="D12" s="4" t="s">
        <v>20</v>
      </c>
      <c r="E12" s="4" t="s">
        <v>18</v>
      </c>
      <c r="F12" s="4" t="s">
        <v>21</v>
      </c>
      <c r="G12" s="4" t="s">
        <v>22</v>
      </c>
      <c r="H12" s="5" t="s">
        <v>23</v>
      </c>
      <c r="I12" s="6" t="s">
        <v>16</v>
      </c>
    </row>
    <row r="13" spans="2:9" x14ac:dyDescent="0.25">
      <c r="B13" s="7" t="s">
        <v>4</v>
      </c>
      <c r="C13" s="8">
        <v>90</v>
      </c>
      <c r="D13" s="8">
        <v>50</v>
      </c>
      <c r="E13" s="8">
        <v>65</v>
      </c>
      <c r="F13" s="8">
        <v>85</v>
      </c>
      <c r="G13" s="8">
        <v>90</v>
      </c>
      <c r="H13" s="8">
        <f t="shared" ref="H13:H18" si="0">SUM(C13:G13)</f>
        <v>380</v>
      </c>
      <c r="I13" s="9" t="str">
        <f t="shared" ref="I13:I18" si="1">IF(AND(C13&gt;=35,D13&gt;=35,E13&gt;=35,F13&gt;=35,G13&gt;=35),"PASS","FAIL")</f>
        <v>PASS</v>
      </c>
    </row>
    <row r="14" spans="2:9" x14ac:dyDescent="0.25">
      <c r="B14" s="7" t="s">
        <v>5</v>
      </c>
      <c r="C14" s="8">
        <v>85</v>
      </c>
      <c r="D14" s="8">
        <v>80</v>
      </c>
      <c r="E14" s="8">
        <v>55</v>
      </c>
      <c r="F14" s="8">
        <v>65</v>
      </c>
      <c r="G14" s="8">
        <v>95</v>
      </c>
      <c r="H14" s="8">
        <f t="shared" si="0"/>
        <v>380</v>
      </c>
      <c r="I14" s="9" t="str">
        <f t="shared" si="1"/>
        <v>PASS</v>
      </c>
    </row>
    <row r="15" spans="2:9" x14ac:dyDescent="0.25">
      <c r="B15" s="7" t="s">
        <v>6</v>
      </c>
      <c r="C15" s="8">
        <v>65</v>
      </c>
      <c r="D15" s="8">
        <v>65</v>
      </c>
      <c r="E15" s="8">
        <v>60</v>
      </c>
      <c r="F15" s="8">
        <v>45</v>
      </c>
      <c r="G15" s="8">
        <v>60</v>
      </c>
      <c r="H15" s="8">
        <f t="shared" si="0"/>
        <v>295</v>
      </c>
      <c r="I15" s="9" t="str">
        <f t="shared" si="1"/>
        <v>PASS</v>
      </c>
    </row>
    <row r="16" spans="2:9" x14ac:dyDescent="0.25">
      <c r="B16" s="7" t="s">
        <v>7</v>
      </c>
      <c r="C16" s="8">
        <v>40</v>
      </c>
      <c r="D16" s="8">
        <v>20</v>
      </c>
      <c r="E16" s="8">
        <v>58</v>
      </c>
      <c r="F16" s="8">
        <v>44</v>
      </c>
      <c r="G16" s="8">
        <v>58</v>
      </c>
      <c r="H16" s="8">
        <f t="shared" si="0"/>
        <v>220</v>
      </c>
      <c r="I16" s="9" t="str">
        <f t="shared" si="1"/>
        <v>FAIL</v>
      </c>
    </row>
    <row r="17" spans="2:9" x14ac:dyDescent="0.25">
      <c r="B17" s="7" t="s">
        <v>8</v>
      </c>
      <c r="C17" s="8">
        <v>54</v>
      </c>
      <c r="D17" s="8">
        <v>98</v>
      </c>
      <c r="E17" s="8">
        <v>90</v>
      </c>
      <c r="F17" s="8">
        <v>85</v>
      </c>
      <c r="G17" s="8">
        <v>60</v>
      </c>
      <c r="H17" s="8">
        <f t="shared" si="0"/>
        <v>387</v>
      </c>
      <c r="I17" s="9" t="str">
        <f t="shared" si="1"/>
        <v>PASS</v>
      </c>
    </row>
    <row r="18" spans="2:9" x14ac:dyDescent="0.25">
      <c r="B18" s="7" t="s">
        <v>9</v>
      </c>
      <c r="C18" s="8">
        <v>60</v>
      </c>
      <c r="D18" s="8">
        <v>50</v>
      </c>
      <c r="E18" s="8">
        <v>45</v>
      </c>
      <c r="F18" s="8">
        <v>40</v>
      </c>
      <c r="G18" s="8">
        <v>40</v>
      </c>
      <c r="H18" s="8">
        <f t="shared" si="0"/>
        <v>235</v>
      </c>
      <c r="I18" s="9" t="str">
        <f t="shared" si="1"/>
        <v>PASS</v>
      </c>
    </row>
    <row r="31" spans="2:9" x14ac:dyDescent="0.25">
      <c r="B31" s="1" t="s">
        <v>24</v>
      </c>
      <c r="C31" s="5" t="s">
        <v>25</v>
      </c>
      <c r="D31" s="5" t="s">
        <v>26</v>
      </c>
      <c r="E31" s="5" t="s">
        <v>27</v>
      </c>
      <c r="F31" s="5" t="s">
        <v>16</v>
      </c>
    </row>
    <row r="32" spans="2:9" x14ac:dyDescent="0.25">
      <c r="B32" s="7" t="s">
        <v>4</v>
      </c>
      <c r="C32" s="10">
        <v>50</v>
      </c>
      <c r="D32" s="10">
        <v>54</v>
      </c>
      <c r="E32" s="10">
        <v>80</v>
      </c>
      <c r="F32" s="9" t="str">
        <f t="shared" ref="F32:F37" si="2">IF(OR(C32&gt;=50,D32&gt;=50,E32&gt;=50),"Applicable","Not Applicable")</f>
        <v>Applicable</v>
      </c>
    </row>
    <row r="33" spans="2:11" x14ac:dyDescent="0.25">
      <c r="B33" s="7" t="s">
        <v>5</v>
      </c>
      <c r="C33" s="10">
        <v>65</v>
      </c>
      <c r="D33" s="10">
        <v>25</v>
      </c>
      <c r="E33" s="10">
        <v>50</v>
      </c>
      <c r="F33" s="9" t="str">
        <f t="shared" si="2"/>
        <v>Applicable</v>
      </c>
    </row>
    <row r="34" spans="2:11" x14ac:dyDescent="0.25">
      <c r="B34" s="7" t="s">
        <v>6</v>
      </c>
      <c r="C34" s="10">
        <v>10</v>
      </c>
      <c r="D34" s="10">
        <v>55</v>
      </c>
      <c r="E34" s="10">
        <v>85</v>
      </c>
      <c r="F34" s="9" t="str">
        <f t="shared" si="2"/>
        <v>Applicable</v>
      </c>
    </row>
    <row r="35" spans="2:11" x14ac:dyDescent="0.25">
      <c r="B35" s="7" t="s">
        <v>7</v>
      </c>
      <c r="C35" s="10">
        <v>58</v>
      </c>
      <c r="D35" s="10">
        <v>55</v>
      </c>
      <c r="E35" s="10">
        <v>60</v>
      </c>
      <c r="F35" s="9" t="str">
        <f t="shared" si="2"/>
        <v>Applicable</v>
      </c>
    </row>
    <row r="36" spans="2:11" x14ac:dyDescent="0.25">
      <c r="B36" s="7" t="s">
        <v>8</v>
      </c>
      <c r="C36" s="10">
        <v>40</v>
      </c>
      <c r="D36" s="10">
        <v>80</v>
      </c>
      <c r="E36" s="10">
        <v>52</v>
      </c>
      <c r="F36" s="9" t="str">
        <f t="shared" si="2"/>
        <v>Applicable</v>
      </c>
    </row>
    <row r="37" spans="2:11" x14ac:dyDescent="0.25">
      <c r="B37" s="7" t="s">
        <v>9</v>
      </c>
      <c r="C37" s="10">
        <v>40</v>
      </c>
      <c r="D37" s="10">
        <v>45</v>
      </c>
      <c r="E37" s="10">
        <v>50</v>
      </c>
      <c r="F37" s="9" t="str">
        <f t="shared" si="2"/>
        <v>Applicable</v>
      </c>
    </row>
    <row r="42" spans="2:11" ht="15.75" thickBot="1" x14ac:dyDescent="0.3"/>
    <row r="43" spans="2:11" x14ac:dyDescent="0.25">
      <c r="D43" s="108"/>
      <c r="E43" s="109" t="s">
        <v>160</v>
      </c>
      <c r="I43" s="116" t="s">
        <v>167</v>
      </c>
      <c r="J43" s="116"/>
    </row>
    <row r="44" spans="2:11" x14ac:dyDescent="0.25">
      <c r="D44" s="110"/>
      <c r="E44" s="111" t="s">
        <v>161</v>
      </c>
      <c r="I44" s="117" t="s">
        <v>161</v>
      </c>
      <c r="J44" s="116"/>
    </row>
    <row r="45" spans="2:11" ht="15.75" thickBot="1" x14ac:dyDescent="0.3">
      <c r="D45" s="112"/>
      <c r="E45" s="113" t="s">
        <v>162</v>
      </c>
      <c r="I45" s="117" t="s">
        <v>168</v>
      </c>
      <c r="J45" s="116"/>
    </row>
    <row r="46" spans="2:11" x14ac:dyDescent="0.25">
      <c r="I46" s="114" t="s">
        <v>163</v>
      </c>
      <c r="J46" s="114" t="s">
        <v>39</v>
      </c>
      <c r="K46" s="114" t="s">
        <v>23</v>
      </c>
    </row>
    <row r="47" spans="2:11" x14ac:dyDescent="0.25">
      <c r="D47" s="114" t="s">
        <v>163</v>
      </c>
      <c r="E47" s="114" t="s">
        <v>39</v>
      </c>
      <c r="F47" s="114" t="s">
        <v>23</v>
      </c>
      <c r="I47" s="115" t="s">
        <v>164</v>
      </c>
      <c r="J47" s="118"/>
      <c r="K47" s="118"/>
    </row>
    <row r="48" spans="2:11" x14ac:dyDescent="0.25">
      <c r="D48" s="115" t="s">
        <v>164</v>
      </c>
      <c r="E48" s="115" t="s">
        <v>165</v>
      </c>
      <c r="F48" s="115" t="s">
        <v>166</v>
      </c>
      <c r="I48" s="118"/>
      <c r="J48" s="115" t="s">
        <v>165</v>
      </c>
      <c r="K48" s="118"/>
    </row>
    <row r="49" spans="1:11" x14ac:dyDescent="0.25">
      <c r="I49" s="118"/>
      <c r="J49" s="118"/>
      <c r="K49" s="115" t="s">
        <v>166</v>
      </c>
    </row>
    <row r="51" spans="1:11" x14ac:dyDescent="0.25">
      <c r="A51" s="119" t="s">
        <v>81</v>
      </c>
      <c r="B51" s="119" t="s">
        <v>163</v>
      </c>
      <c r="C51" s="119" t="s">
        <v>39</v>
      </c>
      <c r="D51" s="119" t="s">
        <v>23</v>
      </c>
    </row>
    <row r="52" spans="1:11" x14ac:dyDescent="0.25">
      <c r="A52" s="120">
        <v>37622</v>
      </c>
      <c r="B52" s="121" t="s">
        <v>164</v>
      </c>
      <c r="C52" s="121" t="s">
        <v>169</v>
      </c>
      <c r="D52" s="122">
        <v>302</v>
      </c>
    </row>
    <row r="53" spans="1:11" x14ac:dyDescent="0.25">
      <c r="A53" s="120">
        <v>37624</v>
      </c>
      <c r="B53" s="121" t="s">
        <v>170</v>
      </c>
      <c r="C53" s="121" t="s">
        <v>171</v>
      </c>
      <c r="D53" s="122">
        <v>530</v>
      </c>
    </row>
    <row r="54" spans="1:11" x14ac:dyDescent="0.25">
      <c r="A54" s="120">
        <v>37625</v>
      </c>
      <c r="B54" s="121" t="s">
        <v>164</v>
      </c>
      <c r="C54" s="121" t="s">
        <v>165</v>
      </c>
      <c r="D54" s="122">
        <v>223</v>
      </c>
    </row>
    <row r="55" spans="1:11" x14ac:dyDescent="0.25">
      <c r="A55" s="120">
        <v>37632</v>
      </c>
      <c r="B55" s="121" t="s">
        <v>164</v>
      </c>
      <c r="C55" s="121" t="s">
        <v>165</v>
      </c>
      <c r="D55" s="122">
        <v>363</v>
      </c>
    </row>
    <row r="56" spans="1:11" x14ac:dyDescent="0.25">
      <c r="A56" s="120">
        <v>37641</v>
      </c>
      <c r="B56" s="121" t="s">
        <v>164</v>
      </c>
      <c r="C56" s="121" t="s">
        <v>165</v>
      </c>
      <c r="D56" s="122">
        <v>478</v>
      </c>
    </row>
    <row r="57" spans="1:11" x14ac:dyDescent="0.25">
      <c r="A57" s="120">
        <v>37641</v>
      </c>
      <c r="B57" s="121" t="s">
        <v>164</v>
      </c>
      <c r="C57" s="121" t="s">
        <v>172</v>
      </c>
      <c r="D57" s="122">
        <v>191</v>
      </c>
    </row>
    <row r="58" spans="1:11" x14ac:dyDescent="0.25">
      <c r="A58" s="120">
        <v>37642</v>
      </c>
      <c r="B58" s="121" t="s">
        <v>170</v>
      </c>
      <c r="C58" s="121" t="s">
        <v>173</v>
      </c>
      <c r="D58" s="122">
        <v>684</v>
      </c>
    </row>
    <row r="59" spans="1:11" x14ac:dyDescent="0.25">
      <c r="A59" s="120">
        <v>37646</v>
      </c>
      <c r="B59" s="121" t="s">
        <v>164</v>
      </c>
      <c r="C59" s="121" t="s">
        <v>165</v>
      </c>
      <c r="D59" s="122">
        <v>614</v>
      </c>
    </row>
    <row r="60" spans="1:11" x14ac:dyDescent="0.25">
      <c r="A60" s="120">
        <v>37669</v>
      </c>
      <c r="B60" s="121" t="s">
        <v>164</v>
      </c>
      <c r="C60" s="121" t="s">
        <v>173</v>
      </c>
      <c r="D60" s="122">
        <v>380</v>
      </c>
    </row>
    <row r="61" spans="1:11" x14ac:dyDescent="0.25">
      <c r="A61" s="120">
        <v>37674</v>
      </c>
      <c r="B61" s="121" t="s">
        <v>164</v>
      </c>
      <c r="C61" s="121" t="s">
        <v>173</v>
      </c>
      <c r="D61" s="122">
        <v>120</v>
      </c>
    </row>
    <row r="62" spans="1:11" x14ac:dyDescent="0.25">
      <c r="A62" s="120">
        <v>37675</v>
      </c>
      <c r="B62" s="121" t="s">
        <v>164</v>
      </c>
      <c r="C62" s="121" t="s">
        <v>172</v>
      </c>
      <c r="D62" s="122">
        <v>174</v>
      </c>
    </row>
    <row r="63" spans="1:11" x14ac:dyDescent="0.25">
      <c r="A63" s="120">
        <v>37680</v>
      </c>
      <c r="B63" s="121" t="s">
        <v>164</v>
      </c>
      <c r="C63" s="121" t="s">
        <v>165</v>
      </c>
      <c r="D63" s="122">
        <v>48</v>
      </c>
    </row>
    <row r="64" spans="1:11" x14ac:dyDescent="0.25">
      <c r="A64" s="120">
        <v>37682</v>
      </c>
      <c r="B64" s="121" t="s">
        <v>164</v>
      </c>
      <c r="C64" s="121" t="s">
        <v>165</v>
      </c>
      <c r="D64" s="122">
        <v>715</v>
      </c>
    </row>
    <row r="65" spans="1:4" x14ac:dyDescent="0.25">
      <c r="A65" s="120">
        <v>37684</v>
      </c>
      <c r="B65" s="121" t="s">
        <v>170</v>
      </c>
      <c r="C65" s="121" t="s">
        <v>173</v>
      </c>
      <c r="D65" s="122">
        <v>561</v>
      </c>
    </row>
    <row r="66" spans="1:4" x14ac:dyDescent="0.25">
      <c r="A66" s="120">
        <v>37685</v>
      </c>
      <c r="B66" s="121" t="s">
        <v>164</v>
      </c>
      <c r="C66" s="121" t="s">
        <v>165</v>
      </c>
      <c r="D66" s="122">
        <v>468</v>
      </c>
    </row>
    <row r="67" spans="1:4" x14ac:dyDescent="0.25">
      <c r="A67" s="120">
        <v>37692</v>
      </c>
      <c r="B67" s="121" t="s">
        <v>170</v>
      </c>
      <c r="C67" s="121" t="s">
        <v>171</v>
      </c>
      <c r="D67" s="122">
        <v>746</v>
      </c>
    </row>
    <row r="68" spans="1:4" x14ac:dyDescent="0.25">
      <c r="A68" s="120">
        <v>37692</v>
      </c>
      <c r="B68" s="121" t="s">
        <v>164</v>
      </c>
      <c r="C68" s="121" t="s">
        <v>174</v>
      </c>
      <c r="D68" s="122">
        <v>752</v>
      </c>
    </row>
    <row r="69" spans="1:4" x14ac:dyDescent="0.25">
      <c r="A69" s="120">
        <v>37699</v>
      </c>
      <c r="B69" s="121" t="s">
        <v>164</v>
      </c>
      <c r="C69" s="121" t="s">
        <v>171</v>
      </c>
      <c r="D69" s="122">
        <v>399</v>
      </c>
    </row>
    <row r="70" spans="1:4" x14ac:dyDescent="0.25">
      <c r="A70" s="120">
        <v>37701</v>
      </c>
      <c r="B70" s="121" t="s">
        <v>164</v>
      </c>
      <c r="C70" s="121" t="s">
        <v>165</v>
      </c>
      <c r="D70" s="122">
        <v>746</v>
      </c>
    </row>
    <row r="71" spans="1:4" x14ac:dyDescent="0.25">
      <c r="A71" s="120">
        <v>37701</v>
      </c>
      <c r="B71" s="121" t="s">
        <v>164</v>
      </c>
      <c r="C71" s="121" t="s">
        <v>172</v>
      </c>
      <c r="D71" s="122">
        <v>903</v>
      </c>
    </row>
    <row r="72" spans="1:4" x14ac:dyDescent="0.25">
      <c r="A72" s="120">
        <v>37715</v>
      </c>
      <c r="B72" s="121" t="s">
        <v>170</v>
      </c>
      <c r="C72" s="121" t="s">
        <v>172</v>
      </c>
      <c r="D72" s="122">
        <v>275</v>
      </c>
    </row>
    <row r="73" spans="1:4" x14ac:dyDescent="0.25">
      <c r="A73" s="120">
        <v>37729</v>
      </c>
      <c r="B73" s="121" t="s">
        <v>164</v>
      </c>
      <c r="C73" s="121" t="s">
        <v>173</v>
      </c>
      <c r="D73" s="122">
        <v>277</v>
      </c>
    </row>
    <row r="74" spans="1:4" x14ac:dyDescent="0.25">
      <c r="A74" s="120">
        <v>37729</v>
      </c>
      <c r="B74" s="121" t="s">
        <v>164</v>
      </c>
      <c r="C74" s="121" t="s">
        <v>172</v>
      </c>
      <c r="D74" s="122">
        <v>734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5:M66"/>
  <sheetViews>
    <sheetView workbookViewId="0">
      <selection activeCell="J60" sqref="J60"/>
    </sheetView>
  </sheetViews>
  <sheetFormatPr defaultRowHeight="15" x14ac:dyDescent="0.25"/>
  <cols>
    <col min="6" max="6" width="15.42578125" bestFit="1" customWidth="1"/>
    <col min="8" max="8" width="22.5703125" bestFit="1" customWidth="1"/>
    <col min="12" max="13" width="16.42578125" customWidth="1"/>
  </cols>
  <sheetData>
    <row r="15" spans="6:6" x14ac:dyDescent="0.25">
      <c r="F15" s="38" t="s">
        <v>114</v>
      </c>
    </row>
    <row r="17" spans="6:9" ht="16.5" thickBot="1" x14ac:dyDescent="0.3">
      <c r="F17" s="91" t="s">
        <v>0</v>
      </c>
      <c r="G17" s="91" t="s">
        <v>143</v>
      </c>
      <c r="H17" s="91" t="s">
        <v>142</v>
      </c>
      <c r="I17" s="91" t="s">
        <v>141</v>
      </c>
    </row>
    <row r="18" spans="6:9" ht="16.5" thickTop="1" x14ac:dyDescent="0.25">
      <c r="F18" s="90" t="s">
        <v>4</v>
      </c>
      <c r="G18" s="89">
        <v>10</v>
      </c>
      <c r="H18" s="88">
        <v>80</v>
      </c>
      <c r="I18" s="87">
        <v>97</v>
      </c>
    </row>
    <row r="19" spans="6:9" ht="15.75" x14ac:dyDescent="0.25">
      <c r="F19" s="86" t="s">
        <v>5</v>
      </c>
      <c r="G19" s="85">
        <v>20</v>
      </c>
      <c r="H19" s="84">
        <v>90</v>
      </c>
      <c r="I19" s="83">
        <v>69</v>
      </c>
    </row>
    <row r="20" spans="6:9" ht="15.75" x14ac:dyDescent="0.25">
      <c r="F20" s="86" t="s">
        <v>6</v>
      </c>
      <c r="G20" s="85">
        <v>30</v>
      </c>
      <c r="H20" s="84">
        <v>100</v>
      </c>
      <c r="I20" s="83">
        <v>45</v>
      </c>
    </row>
    <row r="21" spans="6:9" ht="15.75" x14ac:dyDescent="0.25">
      <c r="F21" s="86" t="s">
        <v>134</v>
      </c>
      <c r="G21" s="85">
        <v>40</v>
      </c>
      <c r="H21" s="84">
        <v>110</v>
      </c>
      <c r="I21" s="83">
        <v>51</v>
      </c>
    </row>
    <row r="22" spans="6:9" ht="15.75" x14ac:dyDescent="0.25">
      <c r="F22" s="86" t="s">
        <v>132</v>
      </c>
      <c r="G22" s="85">
        <v>50</v>
      </c>
      <c r="H22" s="84">
        <v>120</v>
      </c>
      <c r="I22" s="83">
        <v>77</v>
      </c>
    </row>
    <row r="23" spans="6:9" ht="15.75" x14ac:dyDescent="0.25">
      <c r="F23" s="86" t="s">
        <v>140</v>
      </c>
      <c r="G23" s="85">
        <v>60</v>
      </c>
      <c r="H23" s="84">
        <v>130</v>
      </c>
      <c r="I23" s="83">
        <v>28</v>
      </c>
    </row>
    <row r="24" spans="6:9" ht="16.5" thickBot="1" x14ac:dyDescent="0.3">
      <c r="F24" s="82" t="s">
        <v>139</v>
      </c>
      <c r="G24" s="81">
        <v>70</v>
      </c>
      <c r="H24" s="80">
        <v>140</v>
      </c>
      <c r="I24" s="79">
        <v>73</v>
      </c>
    </row>
    <row r="25" spans="6:9" ht="15.75" thickTop="1" x14ac:dyDescent="0.25"/>
    <row r="27" spans="6:9" x14ac:dyDescent="0.25">
      <c r="F27" s="184" t="s">
        <v>138</v>
      </c>
      <c r="G27" s="184"/>
      <c r="H27" s="185"/>
      <c r="I27" s="31" t="s">
        <v>132</v>
      </c>
    </row>
    <row r="29" spans="6:9" x14ac:dyDescent="0.25">
      <c r="F29" s="184" t="s">
        <v>137</v>
      </c>
      <c r="G29" s="184"/>
      <c r="H29" s="185"/>
      <c r="I29" s="31">
        <f>LOOKUP(I27,F17:I24,H17:H24)</f>
        <v>120</v>
      </c>
    </row>
    <row r="32" spans="6:9" x14ac:dyDescent="0.25">
      <c r="F32" s="38" t="s">
        <v>110</v>
      </c>
    </row>
    <row r="34" spans="6:13" ht="15.75" thickBot="1" x14ac:dyDescent="0.3">
      <c r="F34" s="78" t="s">
        <v>136</v>
      </c>
      <c r="H34" s="186" t="s">
        <v>135</v>
      </c>
      <c r="I34" s="187"/>
      <c r="J34" s="187"/>
      <c r="K34" s="187"/>
      <c r="L34" s="187"/>
      <c r="M34" s="188"/>
    </row>
    <row r="35" spans="6:13" ht="16.5" thickTop="1" thickBot="1" x14ac:dyDescent="0.3">
      <c r="F35" s="77" t="s">
        <v>4</v>
      </c>
      <c r="H35" s="76">
        <v>5</v>
      </c>
      <c r="I35" s="75">
        <v>10</v>
      </c>
      <c r="J35" s="75">
        <v>15</v>
      </c>
      <c r="K35" s="75">
        <v>20</v>
      </c>
      <c r="L35" s="75">
        <v>25</v>
      </c>
      <c r="M35" s="74">
        <v>30</v>
      </c>
    </row>
    <row r="36" spans="6:13" ht="15.75" thickTop="1" x14ac:dyDescent="0.25">
      <c r="F36" s="73" t="s">
        <v>5</v>
      </c>
    </row>
    <row r="37" spans="6:13" x14ac:dyDescent="0.25">
      <c r="F37" s="73" t="s">
        <v>6</v>
      </c>
    </row>
    <row r="38" spans="6:13" x14ac:dyDescent="0.25">
      <c r="F38" s="73" t="s">
        <v>134</v>
      </c>
      <c r="H38" s="186" t="s">
        <v>133</v>
      </c>
      <c r="I38" s="189"/>
      <c r="J38" s="31" t="s">
        <v>6</v>
      </c>
    </row>
    <row r="39" spans="6:13" x14ac:dyDescent="0.25">
      <c r="F39" s="73" t="s">
        <v>132</v>
      </c>
      <c r="H39" s="186" t="s">
        <v>131</v>
      </c>
      <c r="I39" s="189"/>
      <c r="J39" s="31">
        <f>LOOKUP(J38,F35:F40,H35:M35)</f>
        <v>15</v>
      </c>
    </row>
    <row r="40" spans="6:13" ht="15.75" thickBot="1" x14ac:dyDescent="0.3">
      <c r="F40" s="72" t="s">
        <v>130</v>
      </c>
    </row>
    <row r="41" spans="6:13" ht="15.75" thickTop="1" x14ac:dyDescent="0.25"/>
    <row r="49" spans="2:8" ht="21" x14ac:dyDescent="0.35">
      <c r="F49" s="190" t="s">
        <v>188</v>
      </c>
      <c r="G49" s="190"/>
      <c r="H49" s="190"/>
    </row>
    <row r="52" spans="2:8" ht="15.75" x14ac:dyDescent="0.25">
      <c r="F52" s="124" t="s">
        <v>0</v>
      </c>
      <c r="G52" s="5" t="s">
        <v>1</v>
      </c>
      <c r="H52" s="5" t="s">
        <v>10</v>
      </c>
    </row>
    <row r="53" spans="2:8" ht="15.75" x14ac:dyDescent="0.25">
      <c r="F53" s="123" t="s">
        <v>8</v>
      </c>
      <c r="G53" s="125">
        <v>5000</v>
      </c>
      <c r="H53" s="125">
        <f>LOOKUP(G53,$B$57:$C$60,$C$57:$C$60)</f>
        <v>1000</v>
      </c>
    </row>
    <row r="54" spans="2:8" ht="15.75" x14ac:dyDescent="0.25">
      <c r="B54" s="183" t="s">
        <v>187</v>
      </c>
      <c r="C54" s="183"/>
      <c r="F54" s="123" t="s">
        <v>175</v>
      </c>
      <c r="G54" s="125">
        <v>2500</v>
      </c>
      <c r="H54" s="125">
        <f t="shared" ref="H54:H66" si="0">LOOKUP(G54,$B$57:$C$60,$C$57:$C$60)</f>
        <v>500</v>
      </c>
    </row>
    <row r="55" spans="2:8" ht="15.75" x14ac:dyDescent="0.25">
      <c r="F55" s="123" t="s">
        <v>176</v>
      </c>
      <c r="G55" s="125">
        <v>4500</v>
      </c>
      <c r="H55" s="125">
        <f t="shared" si="0"/>
        <v>500</v>
      </c>
    </row>
    <row r="56" spans="2:8" ht="15.75" x14ac:dyDescent="0.25">
      <c r="B56" s="127" t="s">
        <v>1</v>
      </c>
      <c r="C56" s="127" t="s">
        <v>10</v>
      </c>
      <c r="F56" s="123" t="s">
        <v>177</v>
      </c>
      <c r="G56" s="125">
        <v>5600</v>
      </c>
      <c r="H56" s="125">
        <f t="shared" si="0"/>
        <v>1000</v>
      </c>
    </row>
    <row r="57" spans="2:8" ht="15.75" x14ac:dyDescent="0.25">
      <c r="B57" s="126">
        <v>1000</v>
      </c>
      <c r="C57" s="126">
        <v>500</v>
      </c>
      <c r="F57" s="123" t="s">
        <v>178</v>
      </c>
      <c r="G57" s="125">
        <v>2000</v>
      </c>
      <c r="H57" s="125">
        <f t="shared" si="0"/>
        <v>500</v>
      </c>
    </row>
    <row r="58" spans="2:8" ht="15.75" x14ac:dyDescent="0.25">
      <c r="B58" s="126">
        <v>5000</v>
      </c>
      <c r="C58" s="126">
        <v>1000</v>
      </c>
      <c r="F58" s="123" t="s">
        <v>179</v>
      </c>
      <c r="G58" s="125">
        <v>6000</v>
      </c>
      <c r="H58" s="125">
        <f t="shared" si="0"/>
        <v>1000</v>
      </c>
    </row>
    <row r="59" spans="2:8" ht="15.75" x14ac:dyDescent="0.25">
      <c r="B59" s="126">
        <v>8000</v>
      </c>
      <c r="C59" s="126">
        <v>1500</v>
      </c>
      <c r="F59" s="123" t="s">
        <v>180</v>
      </c>
      <c r="G59" s="125">
        <v>7500</v>
      </c>
      <c r="H59" s="125">
        <f t="shared" si="0"/>
        <v>1000</v>
      </c>
    </row>
    <row r="60" spans="2:8" ht="15.75" x14ac:dyDescent="0.25">
      <c r="B60" s="126">
        <v>10000</v>
      </c>
      <c r="C60" s="126">
        <v>2000</v>
      </c>
      <c r="F60" s="123" t="s">
        <v>181</v>
      </c>
      <c r="G60" s="125">
        <v>1000</v>
      </c>
      <c r="H60" s="125">
        <f t="shared" si="0"/>
        <v>500</v>
      </c>
    </row>
    <row r="61" spans="2:8" ht="15.75" x14ac:dyDescent="0.25">
      <c r="F61" s="123" t="s">
        <v>182</v>
      </c>
      <c r="G61" s="125">
        <v>9000</v>
      </c>
      <c r="H61" s="125">
        <f t="shared" si="0"/>
        <v>1500</v>
      </c>
    </row>
    <row r="62" spans="2:8" ht="15.75" x14ac:dyDescent="0.25">
      <c r="F62" s="123" t="s">
        <v>178</v>
      </c>
      <c r="G62" s="125">
        <v>2500</v>
      </c>
      <c r="H62" s="125">
        <f t="shared" si="0"/>
        <v>500</v>
      </c>
    </row>
    <row r="63" spans="2:8" ht="15.75" x14ac:dyDescent="0.25">
      <c r="F63" s="123" t="s">
        <v>183</v>
      </c>
      <c r="G63" s="125">
        <v>4550</v>
      </c>
      <c r="H63" s="125">
        <f t="shared" si="0"/>
        <v>500</v>
      </c>
    </row>
    <row r="64" spans="2:8" ht="15.75" x14ac:dyDescent="0.25">
      <c r="F64" s="123" t="s">
        <v>184</v>
      </c>
      <c r="G64" s="125">
        <v>2550</v>
      </c>
      <c r="H64" s="125">
        <f t="shared" si="0"/>
        <v>500</v>
      </c>
    </row>
    <row r="65" spans="6:8" ht="15.75" x14ac:dyDescent="0.25">
      <c r="F65" s="123" t="s">
        <v>185</v>
      </c>
      <c r="G65" s="125">
        <v>6550</v>
      </c>
      <c r="H65" s="125">
        <f t="shared" si="0"/>
        <v>1000</v>
      </c>
    </row>
    <row r="66" spans="6:8" ht="15.75" x14ac:dyDescent="0.25">
      <c r="F66" s="123" t="s">
        <v>186</v>
      </c>
      <c r="G66" s="125">
        <v>10000</v>
      </c>
      <c r="H66" s="125">
        <f t="shared" si="0"/>
        <v>2000</v>
      </c>
    </row>
  </sheetData>
  <mergeCells count="7">
    <mergeCell ref="B54:C54"/>
    <mergeCell ref="F29:H29"/>
    <mergeCell ref="F27:H27"/>
    <mergeCell ref="H34:M34"/>
    <mergeCell ref="H38:I38"/>
    <mergeCell ref="H39:I39"/>
    <mergeCell ref="F49:H4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3:K60"/>
  <sheetViews>
    <sheetView topLeftCell="A39" workbookViewId="0">
      <selection activeCell="K56" sqref="K56"/>
    </sheetView>
  </sheetViews>
  <sheetFormatPr defaultRowHeight="15" x14ac:dyDescent="0.25"/>
  <cols>
    <col min="2" max="2" width="15.7109375" bestFit="1" customWidth="1"/>
    <col min="3" max="5" width="9.85546875" bestFit="1" customWidth="1"/>
    <col min="7" max="7" width="10.42578125" bestFit="1" customWidth="1"/>
  </cols>
  <sheetData>
    <row r="13" spans="2:7" x14ac:dyDescent="0.25">
      <c r="B13" s="38" t="s">
        <v>110</v>
      </c>
    </row>
    <row r="15" spans="2:7" x14ac:dyDescent="0.25">
      <c r="B15" s="34" t="s">
        <v>143</v>
      </c>
      <c r="C15" s="107">
        <v>10</v>
      </c>
      <c r="D15" s="107">
        <v>20</v>
      </c>
      <c r="E15" s="107">
        <v>30</v>
      </c>
      <c r="F15" s="107">
        <v>40</v>
      </c>
      <c r="G15" s="107">
        <v>50</v>
      </c>
    </row>
    <row r="16" spans="2:7" x14ac:dyDescent="0.25">
      <c r="B16" s="34" t="s">
        <v>142</v>
      </c>
      <c r="C16" s="107">
        <v>80</v>
      </c>
      <c r="D16" s="107">
        <v>90</v>
      </c>
      <c r="E16" s="107">
        <v>100</v>
      </c>
      <c r="F16" s="107">
        <v>110</v>
      </c>
      <c r="G16" s="107">
        <v>120</v>
      </c>
    </row>
    <row r="17" spans="2:9" x14ac:dyDescent="0.25">
      <c r="B17" s="34" t="s">
        <v>141</v>
      </c>
      <c r="C17" s="107">
        <v>97</v>
      </c>
      <c r="D17" s="107">
        <v>69</v>
      </c>
      <c r="E17" s="107">
        <v>45</v>
      </c>
      <c r="F17" s="107">
        <v>51</v>
      </c>
      <c r="G17" s="107">
        <v>77</v>
      </c>
    </row>
    <row r="20" spans="2:9" x14ac:dyDescent="0.25">
      <c r="B20" s="186" t="s">
        <v>157</v>
      </c>
      <c r="C20" s="187"/>
      <c r="D20" s="187"/>
      <c r="E20" s="188"/>
      <c r="F20" s="107" t="s">
        <v>260</v>
      </c>
    </row>
    <row r="21" spans="2:9" x14ac:dyDescent="0.25">
      <c r="B21" s="186" t="s">
        <v>156</v>
      </c>
      <c r="C21" s="187"/>
      <c r="D21" s="187"/>
      <c r="E21" s="188"/>
      <c r="F21" s="107">
        <v>2</v>
      </c>
    </row>
    <row r="23" spans="2:9" x14ac:dyDescent="0.25">
      <c r="D23" s="186" t="s">
        <v>155</v>
      </c>
      <c r="E23" s="188"/>
      <c r="F23" s="106">
        <f>VLOOKUP(F20,B15:G17,F21,FALSE)</f>
        <v>97</v>
      </c>
    </row>
    <row r="27" spans="2:9" x14ac:dyDescent="0.25">
      <c r="B27" s="38" t="s">
        <v>110</v>
      </c>
    </row>
    <row r="28" spans="2:9" x14ac:dyDescent="0.25">
      <c r="B28" s="38"/>
    </row>
    <row r="29" spans="2:9" x14ac:dyDescent="0.25">
      <c r="E29" s="193" t="s">
        <v>154</v>
      </c>
      <c r="F29" s="193"/>
      <c r="G29" s="193"/>
    </row>
    <row r="30" spans="2:9" x14ac:dyDescent="0.25">
      <c r="E30" s="34" t="s">
        <v>82</v>
      </c>
      <c r="F30" s="34" t="s">
        <v>153</v>
      </c>
      <c r="G30" s="34" t="s">
        <v>123</v>
      </c>
    </row>
    <row r="31" spans="2:9" ht="15.75" thickBot="1" x14ac:dyDescent="0.3">
      <c r="B31" s="192" t="s">
        <v>152</v>
      </c>
      <c r="C31" s="192"/>
      <c r="E31" s="99" t="s">
        <v>151</v>
      </c>
      <c r="F31" s="98">
        <v>100</v>
      </c>
      <c r="G31" s="97">
        <f>VLOOKUP(E31,$B$32:$C$34,2,0)</f>
        <v>2</v>
      </c>
      <c r="I31" s="166"/>
    </row>
    <row r="32" spans="2:9" ht="15.75" thickTop="1" x14ac:dyDescent="0.25">
      <c r="B32" s="105" t="s">
        <v>151</v>
      </c>
      <c r="C32" s="104">
        <v>2</v>
      </c>
      <c r="E32" s="99" t="s">
        <v>150</v>
      </c>
      <c r="F32" s="98">
        <v>200</v>
      </c>
      <c r="G32" s="97">
        <f t="shared" ref="G32:G36" si="0">VLOOKUP(E32,$B$32:$C$34,2,0)</f>
        <v>1</v>
      </c>
    </row>
    <row r="33" spans="2:11" x14ac:dyDescent="0.25">
      <c r="B33" s="103" t="s">
        <v>150</v>
      </c>
      <c r="C33" s="102">
        <v>1</v>
      </c>
      <c r="E33" s="99" t="s">
        <v>150</v>
      </c>
      <c r="F33" s="98">
        <v>150</v>
      </c>
      <c r="G33" s="97">
        <f t="shared" si="0"/>
        <v>1</v>
      </c>
      <c r="I33" s="167"/>
      <c r="J33" s="34"/>
    </row>
    <row r="34" spans="2:11" ht="15.75" thickBot="1" x14ac:dyDescent="0.3">
      <c r="B34" s="101" t="s">
        <v>149</v>
      </c>
      <c r="C34" s="100">
        <v>3</v>
      </c>
      <c r="E34" s="99" t="s">
        <v>151</v>
      </c>
      <c r="F34" s="98">
        <v>225</v>
      </c>
      <c r="G34" s="97">
        <f t="shared" si="0"/>
        <v>2</v>
      </c>
    </row>
    <row r="35" spans="2:11" ht="15.75" thickTop="1" x14ac:dyDescent="0.25">
      <c r="E35" s="99" t="s">
        <v>150</v>
      </c>
      <c r="F35" s="98">
        <v>50</v>
      </c>
      <c r="G35" s="97">
        <f t="shared" si="0"/>
        <v>1</v>
      </c>
    </row>
    <row r="36" spans="2:11" x14ac:dyDescent="0.25">
      <c r="E36" s="99" t="s">
        <v>149</v>
      </c>
      <c r="F36" s="98">
        <v>500</v>
      </c>
      <c r="G36" s="97">
        <f t="shared" si="0"/>
        <v>3</v>
      </c>
    </row>
    <row r="40" spans="2:11" x14ac:dyDescent="0.25">
      <c r="B40" s="38" t="s">
        <v>106</v>
      </c>
    </row>
    <row r="42" spans="2:11" ht="21" customHeight="1" x14ac:dyDescent="0.3">
      <c r="B42" s="191" t="s">
        <v>148</v>
      </c>
      <c r="C42" s="191"/>
      <c r="D42" s="191"/>
      <c r="E42" s="191"/>
      <c r="F42" s="191"/>
      <c r="G42" s="96"/>
      <c r="H42" s="96"/>
    </row>
    <row r="45" spans="2:11" ht="15.75" x14ac:dyDescent="0.25">
      <c r="B45" s="95" t="s">
        <v>81</v>
      </c>
      <c r="C45" s="95" t="s">
        <v>147</v>
      </c>
      <c r="D45" s="95" t="s">
        <v>146</v>
      </c>
      <c r="E45" s="95" t="s">
        <v>145</v>
      </c>
      <c r="F45" s="95" t="s">
        <v>144</v>
      </c>
    </row>
    <row r="46" spans="2:11" ht="15.75" x14ac:dyDescent="0.25">
      <c r="B46" s="94">
        <v>38750</v>
      </c>
      <c r="C46" s="93">
        <v>447</v>
      </c>
      <c r="D46" s="93">
        <v>358</v>
      </c>
      <c r="E46" s="93">
        <v>358</v>
      </c>
      <c r="F46" s="93">
        <v>500</v>
      </c>
      <c r="I46" s="92"/>
      <c r="J46" s="92"/>
      <c r="K46" s="92"/>
    </row>
    <row r="47" spans="2:11" ht="15.75" x14ac:dyDescent="0.25">
      <c r="B47" s="94">
        <v>38761</v>
      </c>
      <c r="C47" s="93">
        <v>457</v>
      </c>
      <c r="D47" s="93">
        <v>566</v>
      </c>
      <c r="E47" s="93">
        <v>455</v>
      </c>
      <c r="F47" s="93">
        <v>250</v>
      </c>
      <c r="I47" s="92"/>
      <c r="J47" s="92"/>
      <c r="K47" s="92"/>
    </row>
    <row r="48" spans="2:11" ht="15.75" x14ac:dyDescent="0.25">
      <c r="B48" s="94">
        <v>38776</v>
      </c>
      <c r="C48" s="93">
        <v>547</v>
      </c>
      <c r="D48" s="93">
        <v>458</v>
      </c>
      <c r="E48" s="93">
        <v>587</v>
      </c>
      <c r="F48" s="93">
        <v>640</v>
      </c>
      <c r="I48" s="92"/>
      <c r="J48" s="92"/>
      <c r="K48" s="92"/>
    </row>
    <row r="49" spans="2:11" ht="15.75" x14ac:dyDescent="0.25">
      <c r="B49" s="94">
        <v>38777</v>
      </c>
      <c r="C49" s="93">
        <v>758</v>
      </c>
      <c r="D49" s="93">
        <v>785</v>
      </c>
      <c r="E49" s="93">
        <v>256</v>
      </c>
      <c r="F49" s="93">
        <v>655</v>
      </c>
      <c r="I49" s="92"/>
      <c r="J49" s="92"/>
      <c r="K49" s="92"/>
    </row>
    <row r="50" spans="2:11" ht="15.75" x14ac:dyDescent="0.25">
      <c r="B50" s="94">
        <v>38781</v>
      </c>
      <c r="C50" s="93">
        <v>127</v>
      </c>
      <c r="D50" s="93">
        <v>328</v>
      </c>
      <c r="E50" s="93">
        <v>200</v>
      </c>
      <c r="F50" s="93">
        <v>300</v>
      </c>
      <c r="I50" s="92"/>
      <c r="J50" s="92"/>
      <c r="K50" s="92"/>
    </row>
    <row r="51" spans="2:11" ht="15.75" x14ac:dyDescent="0.25">
      <c r="B51" s="94">
        <v>38786</v>
      </c>
      <c r="C51" s="93">
        <v>569</v>
      </c>
      <c r="D51" s="93">
        <v>564</v>
      </c>
      <c r="E51" s="93">
        <v>588</v>
      </c>
      <c r="F51" s="93">
        <v>458</v>
      </c>
      <c r="I51" s="92"/>
      <c r="J51" s="92"/>
      <c r="K51" s="92"/>
    </row>
    <row r="52" spans="2:11" ht="15.75" x14ac:dyDescent="0.25">
      <c r="B52" s="94">
        <v>38787</v>
      </c>
      <c r="C52" s="93">
        <v>566</v>
      </c>
      <c r="D52" s="93">
        <v>300</v>
      </c>
      <c r="E52" s="93">
        <v>650</v>
      </c>
      <c r="F52" s="93">
        <v>800</v>
      </c>
      <c r="I52" s="92"/>
      <c r="J52" s="92"/>
      <c r="K52" s="92"/>
    </row>
    <row r="53" spans="2:11" ht="15.75" x14ac:dyDescent="0.25">
      <c r="B53" s="94">
        <v>38808</v>
      </c>
      <c r="C53" s="93">
        <v>458</v>
      </c>
      <c r="D53" s="93">
        <v>258</v>
      </c>
      <c r="E53" s="93">
        <v>400</v>
      </c>
      <c r="F53" s="93">
        <v>555</v>
      </c>
      <c r="I53" s="92"/>
      <c r="J53" s="92"/>
      <c r="K53" s="92"/>
    </row>
    <row r="54" spans="2:11" x14ac:dyDescent="0.25">
      <c r="I54" s="92"/>
      <c r="J54" s="92"/>
      <c r="K54" s="92"/>
    </row>
    <row r="55" spans="2:11" ht="15.75" x14ac:dyDescent="0.25">
      <c r="B55" s="180"/>
      <c r="C55" s="181"/>
      <c r="D55" s="181"/>
      <c r="E55" s="181"/>
      <c r="F55" s="181"/>
      <c r="I55" s="92"/>
      <c r="J55" s="92"/>
      <c r="K55" s="92"/>
    </row>
    <row r="56" spans="2:11" ht="18.75" customHeight="1" x14ac:dyDescent="0.25">
      <c r="B56" s="95" t="s">
        <v>81</v>
      </c>
      <c r="C56" s="95" t="s">
        <v>147</v>
      </c>
      <c r="D56" s="95" t="s">
        <v>146</v>
      </c>
      <c r="E56" s="95" t="s">
        <v>145</v>
      </c>
      <c r="F56" s="95" t="s">
        <v>144</v>
      </c>
      <c r="G56" s="154"/>
    </row>
    <row r="57" spans="2:11" ht="15.75" x14ac:dyDescent="0.25">
      <c r="B57" s="94">
        <v>38776</v>
      </c>
      <c r="C57" s="182">
        <f>VLOOKUP(B57,B45:F53,2,0)</f>
        <v>547</v>
      </c>
      <c r="D57" s="182">
        <f>VLOOKUP(B57,B45:F53,3,0)</f>
        <v>458</v>
      </c>
      <c r="E57" s="182">
        <f>VLOOKUP(B57,B45:F53,4,0)</f>
        <v>587</v>
      </c>
      <c r="F57" s="182">
        <f>VLOOKUP(B57,B45:F53,5,0)</f>
        <v>640</v>
      </c>
    </row>
    <row r="58" spans="2:11" x14ac:dyDescent="0.25">
      <c r="B58" s="179"/>
      <c r="C58" s="178"/>
      <c r="D58" s="178"/>
      <c r="E58" s="178"/>
      <c r="F58" s="178"/>
    </row>
    <row r="59" spans="2:11" x14ac:dyDescent="0.25">
      <c r="B59" s="179"/>
      <c r="C59" s="178"/>
      <c r="D59" s="178"/>
      <c r="E59" s="178"/>
      <c r="F59" s="178"/>
    </row>
    <row r="60" spans="2:11" x14ac:dyDescent="0.25">
      <c r="B60" s="178"/>
      <c r="C60" s="178"/>
      <c r="D60" s="178"/>
      <c r="E60" s="178"/>
      <c r="F60" s="178"/>
    </row>
  </sheetData>
  <mergeCells count="6">
    <mergeCell ref="B42:F42"/>
    <mergeCell ref="B20:E20"/>
    <mergeCell ref="B21:E21"/>
    <mergeCell ref="D23:E23"/>
    <mergeCell ref="B31:C31"/>
    <mergeCell ref="E29:G29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3:D28"/>
  <sheetViews>
    <sheetView topLeftCell="A7" workbookViewId="0">
      <selection activeCell="C17" sqref="C17"/>
    </sheetView>
  </sheetViews>
  <sheetFormatPr defaultRowHeight="15" x14ac:dyDescent="0.25"/>
  <cols>
    <col min="2" max="2" width="10.28515625" bestFit="1" customWidth="1"/>
    <col min="3" max="3" width="31.5703125" bestFit="1" customWidth="1"/>
  </cols>
  <sheetData>
    <row r="3" spans="2:4" x14ac:dyDescent="0.25">
      <c r="D3" t="s">
        <v>232</v>
      </c>
    </row>
    <row r="15" spans="2:4" x14ac:dyDescent="0.25">
      <c r="B15" s="38" t="s">
        <v>114</v>
      </c>
    </row>
    <row r="17" spans="2:4" x14ac:dyDescent="0.25">
      <c r="B17" s="34" t="s">
        <v>143</v>
      </c>
      <c r="C17" s="34" t="s">
        <v>142</v>
      </c>
      <c r="D17" s="34" t="s">
        <v>141</v>
      </c>
    </row>
    <row r="18" spans="2:4" x14ac:dyDescent="0.25">
      <c r="B18" s="31">
        <v>10</v>
      </c>
      <c r="C18" s="31">
        <v>80</v>
      </c>
      <c r="D18" s="31">
        <v>97</v>
      </c>
    </row>
    <row r="19" spans="2:4" x14ac:dyDescent="0.25">
      <c r="B19" s="31">
        <v>20</v>
      </c>
      <c r="C19" s="31">
        <v>90</v>
      </c>
      <c r="D19" s="31">
        <v>69</v>
      </c>
    </row>
    <row r="20" spans="2:4" x14ac:dyDescent="0.25">
      <c r="B20" s="31">
        <v>30</v>
      </c>
      <c r="C20" s="31">
        <v>100</v>
      </c>
      <c r="D20" s="31">
        <v>45</v>
      </c>
    </row>
    <row r="21" spans="2:4" x14ac:dyDescent="0.25">
      <c r="B21" s="31">
        <v>40</v>
      </c>
      <c r="C21" s="31">
        <v>110</v>
      </c>
      <c r="D21" s="31">
        <v>51</v>
      </c>
    </row>
    <row r="22" spans="2:4" x14ac:dyDescent="0.25">
      <c r="B22" s="31">
        <v>50</v>
      </c>
      <c r="C22" s="31">
        <v>120</v>
      </c>
      <c r="D22" s="31">
        <v>77</v>
      </c>
    </row>
    <row r="25" spans="2:4" x14ac:dyDescent="0.25">
      <c r="B25" s="187" t="s">
        <v>157</v>
      </c>
      <c r="C25" s="188"/>
      <c r="D25" s="31" t="s">
        <v>260</v>
      </c>
    </row>
    <row r="26" spans="2:4" x14ac:dyDescent="0.25">
      <c r="B26" s="187" t="s">
        <v>158</v>
      </c>
      <c r="C26" s="188"/>
      <c r="D26" s="31">
        <v>4</v>
      </c>
    </row>
    <row r="27" spans="2:4" x14ac:dyDescent="0.25">
      <c r="D27" s="35"/>
    </row>
    <row r="28" spans="2:4" x14ac:dyDescent="0.25">
      <c r="B28" s="186" t="s">
        <v>155</v>
      </c>
      <c r="C28" s="188"/>
      <c r="D28" s="31">
        <f>HLOOKUP(D25,B17:D22,D26,0)</f>
        <v>45</v>
      </c>
    </row>
  </sheetData>
  <mergeCells count="3">
    <mergeCell ref="B25:C25"/>
    <mergeCell ref="B26:C26"/>
    <mergeCell ref="B28:C2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16"/>
  <sheetViews>
    <sheetView topLeftCell="A6" workbookViewId="0">
      <selection activeCell="F16" sqref="F16"/>
    </sheetView>
  </sheetViews>
  <sheetFormatPr defaultRowHeight="15" x14ac:dyDescent="0.25"/>
  <cols>
    <col min="4" max="7" width="17" customWidth="1"/>
  </cols>
  <sheetData>
    <row r="1" spans="1:15" ht="23.25" x14ac:dyDescent="0.35">
      <c r="A1" s="128" t="s">
        <v>197</v>
      </c>
      <c r="B1" s="128"/>
      <c r="C1" s="128"/>
      <c r="D1" s="128"/>
      <c r="E1" s="128"/>
      <c r="F1" s="128"/>
      <c r="G1" s="128"/>
      <c r="H1" s="128"/>
      <c r="I1" s="128"/>
      <c r="J1" s="129"/>
      <c r="K1" s="129"/>
      <c r="L1" s="129"/>
      <c r="M1" s="129"/>
      <c r="N1" s="129"/>
      <c r="O1" s="129"/>
    </row>
    <row r="2" spans="1:15" ht="23.25" x14ac:dyDescent="0.35">
      <c r="A2" s="128" t="s">
        <v>198</v>
      </c>
      <c r="B2" s="128"/>
      <c r="C2" s="128"/>
      <c r="D2" s="128"/>
      <c r="E2" s="128"/>
      <c r="F2" s="128"/>
      <c r="G2" s="128"/>
      <c r="H2" s="128"/>
      <c r="I2" s="128"/>
      <c r="J2" s="129"/>
      <c r="K2" s="129"/>
      <c r="L2" s="129"/>
      <c r="M2" s="129"/>
      <c r="N2" s="129"/>
      <c r="O2" s="129"/>
    </row>
    <row r="3" spans="1:15" ht="23.25" x14ac:dyDescent="0.35">
      <c r="A3" s="128" t="s">
        <v>199</v>
      </c>
      <c r="B3" s="128"/>
      <c r="C3" s="128"/>
      <c r="D3" s="128"/>
      <c r="E3" s="128"/>
      <c r="F3" s="128"/>
      <c r="G3" s="128"/>
      <c r="H3" s="128"/>
      <c r="I3" s="128"/>
      <c r="J3" s="129"/>
      <c r="K3" s="129"/>
      <c r="L3" s="129"/>
      <c r="M3" s="129"/>
      <c r="N3" s="129"/>
      <c r="O3" s="129"/>
    </row>
    <row r="4" spans="1:15" ht="23.25" x14ac:dyDescent="0.35">
      <c r="A4" s="128" t="s">
        <v>200</v>
      </c>
      <c r="B4" s="128"/>
      <c r="C4" s="128"/>
      <c r="D4" s="128"/>
      <c r="E4" s="128"/>
      <c r="F4" s="128"/>
      <c r="G4" s="128"/>
      <c r="H4" s="128"/>
      <c r="I4" s="128"/>
      <c r="J4" s="129"/>
      <c r="K4" s="129"/>
      <c r="L4" s="129"/>
      <c r="M4" s="129"/>
      <c r="N4" s="129"/>
      <c r="O4" s="129"/>
    </row>
    <row r="8" spans="1:15" ht="20.25" x14ac:dyDescent="0.3">
      <c r="D8" s="130" t="s">
        <v>189</v>
      </c>
      <c r="E8" s="130" t="s">
        <v>190</v>
      </c>
      <c r="F8" s="130" t="s">
        <v>191</v>
      </c>
      <c r="G8" s="130" t="s">
        <v>192</v>
      </c>
    </row>
    <row r="9" spans="1:15" ht="20.25" x14ac:dyDescent="0.3">
      <c r="D9" s="131" t="s">
        <v>193</v>
      </c>
      <c r="E9" s="131">
        <v>500</v>
      </c>
      <c r="F9" s="131">
        <v>400</v>
      </c>
      <c r="G9" s="131">
        <v>4500</v>
      </c>
    </row>
    <row r="10" spans="1:15" ht="20.25" x14ac:dyDescent="0.3">
      <c r="D10" s="131" t="s">
        <v>194</v>
      </c>
      <c r="E10" s="131">
        <v>750</v>
      </c>
      <c r="F10" s="131">
        <v>500</v>
      </c>
      <c r="G10" s="131">
        <v>5500</v>
      </c>
    </row>
    <row r="11" spans="1:15" ht="20.25" x14ac:dyDescent="0.3">
      <c r="D11" s="131" t="s">
        <v>195</v>
      </c>
      <c r="E11" s="131">
        <v>800</v>
      </c>
      <c r="F11" s="131">
        <v>650</v>
      </c>
      <c r="G11" s="131">
        <v>5000</v>
      </c>
    </row>
    <row r="12" spans="1:15" ht="20.25" x14ac:dyDescent="0.3">
      <c r="D12" s="131" t="s">
        <v>32</v>
      </c>
      <c r="E12" s="131">
        <v>650</v>
      </c>
      <c r="F12" s="131">
        <v>550</v>
      </c>
      <c r="G12" s="131">
        <v>5600</v>
      </c>
    </row>
    <row r="15" spans="1:15" ht="21" x14ac:dyDescent="0.35">
      <c r="D15" s="132" t="s">
        <v>66</v>
      </c>
      <c r="E15" s="132" t="s">
        <v>196</v>
      </c>
      <c r="F15" s="132" t="s">
        <v>159</v>
      </c>
    </row>
    <row r="16" spans="1:15" ht="26.25" customHeight="1" x14ac:dyDescent="0.3">
      <c r="D16" s="131" t="s">
        <v>265</v>
      </c>
      <c r="E16" s="50" t="s">
        <v>266</v>
      </c>
      <c r="F16" s="50"/>
    </row>
  </sheetData>
  <dataValidations count="1">
    <dataValidation type="list" allowBlank="1" showInputMessage="1" showErrorMessage="1" sqref="E16">
      <formula1>$E$8:$G$8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6:E25"/>
  <sheetViews>
    <sheetView topLeftCell="A10" workbookViewId="0">
      <selection activeCell="H21" sqref="H21"/>
    </sheetView>
  </sheetViews>
  <sheetFormatPr defaultRowHeight="15" x14ac:dyDescent="0.25"/>
  <cols>
    <col min="3" max="3" width="12" bestFit="1" customWidth="1"/>
    <col min="9" max="9" width="9.85546875" bestFit="1" customWidth="1"/>
  </cols>
  <sheetData>
    <row r="16" spans="2:5" x14ac:dyDescent="0.25">
      <c r="B16" s="186" t="s">
        <v>70</v>
      </c>
      <c r="C16" s="187"/>
      <c r="D16" s="188"/>
      <c r="E16" s="34" t="s">
        <v>69</v>
      </c>
    </row>
    <row r="17" spans="2:5" x14ac:dyDescent="0.25">
      <c r="B17" s="31">
        <v>10</v>
      </c>
      <c r="C17" s="31" t="s">
        <v>229</v>
      </c>
      <c r="D17" s="31">
        <v>30</v>
      </c>
      <c r="E17" s="31">
        <f t="shared" ref="E17:E25" si="0">COUNT(B17:D17)</f>
        <v>2</v>
      </c>
    </row>
    <row r="18" spans="2:5" x14ac:dyDescent="0.25">
      <c r="B18" s="31">
        <v>10</v>
      </c>
      <c r="C18" s="31">
        <v>0</v>
      </c>
      <c r="D18" s="31">
        <v>30</v>
      </c>
      <c r="E18" s="31">
        <f t="shared" si="0"/>
        <v>3</v>
      </c>
    </row>
    <row r="19" spans="2:5" x14ac:dyDescent="0.25">
      <c r="B19" s="31">
        <v>10</v>
      </c>
      <c r="C19" s="31">
        <v>-20</v>
      </c>
      <c r="D19" s="31">
        <v>30</v>
      </c>
      <c r="E19" s="31">
        <f t="shared" si="0"/>
        <v>3</v>
      </c>
    </row>
    <row r="20" spans="2:5" x14ac:dyDescent="0.25">
      <c r="B20" s="31">
        <v>10</v>
      </c>
      <c r="C20" s="33">
        <v>32143</v>
      </c>
      <c r="D20" s="31">
        <v>30</v>
      </c>
      <c r="E20" s="31">
        <f t="shared" si="0"/>
        <v>3</v>
      </c>
    </row>
    <row r="21" spans="2:5" x14ac:dyDescent="0.25">
      <c r="B21" s="31">
        <v>10</v>
      </c>
      <c r="C21" s="32">
        <v>0.89583333333333337</v>
      </c>
      <c r="D21" s="31">
        <v>30</v>
      </c>
      <c r="E21" s="31">
        <f t="shared" si="0"/>
        <v>3</v>
      </c>
    </row>
    <row r="22" spans="2:5" x14ac:dyDescent="0.25">
      <c r="B22" s="31">
        <v>10</v>
      </c>
      <c r="C22" s="31">
        <f ca="1">RAND()</f>
        <v>0.79257437728106628</v>
      </c>
      <c r="D22" s="31">
        <v>30</v>
      </c>
      <c r="E22" s="31">
        <f t="shared" ca="1" si="0"/>
        <v>3</v>
      </c>
    </row>
    <row r="23" spans="2:5" x14ac:dyDescent="0.25">
      <c r="B23" s="31">
        <v>10</v>
      </c>
      <c r="C23" s="31"/>
      <c r="D23" s="31">
        <v>30</v>
      </c>
      <c r="E23" s="31">
        <f t="shared" si="0"/>
        <v>2</v>
      </c>
    </row>
    <row r="24" spans="2:5" x14ac:dyDescent="0.25">
      <c r="B24" s="31">
        <v>10</v>
      </c>
      <c r="C24" s="31" t="s">
        <v>68</v>
      </c>
      <c r="D24" s="31">
        <v>30</v>
      </c>
      <c r="E24" s="31">
        <f>COUNT(B24:D24)</f>
        <v>2</v>
      </c>
    </row>
    <row r="25" spans="2:5" x14ac:dyDescent="0.25">
      <c r="B25" s="31">
        <v>10</v>
      </c>
      <c r="C25" s="31" t="e">
        <f>0/0</f>
        <v>#DIV/0!</v>
      </c>
      <c r="D25" s="31">
        <v>30</v>
      </c>
      <c r="E25" s="31">
        <f t="shared" si="0"/>
        <v>2</v>
      </c>
    </row>
  </sheetData>
  <mergeCells count="1">
    <mergeCell ref="B16:D1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6:L26"/>
  <sheetViews>
    <sheetView topLeftCell="A7" workbookViewId="0">
      <selection activeCell="F14" sqref="F14"/>
    </sheetView>
  </sheetViews>
  <sheetFormatPr defaultRowHeight="15" x14ac:dyDescent="0.25"/>
  <cols>
    <col min="3" max="3" width="12" bestFit="1" customWidth="1"/>
  </cols>
  <sheetData>
    <row r="16" spans="2:12" x14ac:dyDescent="0.25">
      <c r="B16" s="186" t="s">
        <v>70</v>
      </c>
      <c r="C16" s="187"/>
      <c r="D16" s="188"/>
      <c r="E16" s="34" t="s">
        <v>69</v>
      </c>
      <c r="I16" s="158" t="s">
        <v>233</v>
      </c>
      <c r="J16" s="158"/>
      <c r="K16" s="158"/>
      <c r="L16" s="156" t="s">
        <v>234</v>
      </c>
    </row>
    <row r="17" spans="2:12" x14ac:dyDescent="0.25">
      <c r="B17" s="31">
        <v>10</v>
      </c>
      <c r="C17" s="31">
        <v>20</v>
      </c>
      <c r="D17" s="31">
        <v>30</v>
      </c>
      <c r="E17" s="31">
        <f t="shared" ref="E17:E25" si="0">COUNTA(B17:D17)</f>
        <v>3</v>
      </c>
      <c r="I17" s="160">
        <v>10</v>
      </c>
      <c r="J17" s="161">
        <v>20</v>
      </c>
      <c r="K17" s="155">
        <v>30</v>
      </c>
      <c r="L17" s="162">
        <f t="shared" ref="L17:L26" si="1">COUNTA(I17:K17)</f>
        <v>3</v>
      </c>
    </row>
    <row r="18" spans="2:12" x14ac:dyDescent="0.25">
      <c r="B18" s="31">
        <v>10</v>
      </c>
      <c r="C18" s="31">
        <v>0</v>
      </c>
      <c r="D18" s="31">
        <v>30</v>
      </c>
      <c r="E18" s="31">
        <f t="shared" si="0"/>
        <v>3</v>
      </c>
      <c r="I18" s="160">
        <v>10</v>
      </c>
      <c r="J18" s="161">
        <v>-20</v>
      </c>
      <c r="K18" s="155">
        <v>30</v>
      </c>
      <c r="L18" s="162">
        <f t="shared" si="1"/>
        <v>3</v>
      </c>
    </row>
    <row r="19" spans="2:12" x14ac:dyDescent="0.25">
      <c r="B19" s="31">
        <v>10</v>
      </c>
      <c r="C19" s="31">
        <v>-20</v>
      </c>
      <c r="D19" s="31">
        <v>30</v>
      </c>
      <c r="E19" s="31">
        <f t="shared" si="0"/>
        <v>3</v>
      </c>
      <c r="I19" s="160">
        <v>10</v>
      </c>
      <c r="J19" s="161">
        <v>20</v>
      </c>
      <c r="K19" s="155">
        <v>30</v>
      </c>
      <c r="L19" s="162">
        <f t="shared" si="1"/>
        <v>3</v>
      </c>
    </row>
    <row r="20" spans="2:12" x14ac:dyDescent="0.25">
      <c r="B20" s="31">
        <v>10</v>
      </c>
      <c r="C20" s="33">
        <v>32143</v>
      </c>
      <c r="D20" s="31">
        <v>30</v>
      </c>
      <c r="E20" s="31">
        <f t="shared" si="0"/>
        <v>3</v>
      </c>
      <c r="I20" s="160">
        <v>10</v>
      </c>
      <c r="J20" s="161">
        <v>0</v>
      </c>
      <c r="K20" s="155">
        <v>30</v>
      </c>
      <c r="L20" s="162">
        <f t="shared" si="1"/>
        <v>3</v>
      </c>
    </row>
    <row r="21" spans="2:12" x14ac:dyDescent="0.25">
      <c r="B21" s="31">
        <v>10</v>
      </c>
      <c r="C21" s="32">
        <v>0.89583333333333337</v>
      </c>
      <c r="D21" s="31">
        <v>30</v>
      </c>
      <c r="E21" s="31">
        <f t="shared" si="0"/>
        <v>3</v>
      </c>
      <c r="I21" s="160">
        <v>10</v>
      </c>
      <c r="J21" s="161" t="s">
        <v>235</v>
      </c>
      <c r="K21" s="155">
        <v>30</v>
      </c>
      <c r="L21" s="162">
        <f t="shared" si="1"/>
        <v>3</v>
      </c>
    </row>
    <row r="22" spans="2:12" x14ac:dyDescent="0.25">
      <c r="B22" s="31">
        <v>10</v>
      </c>
      <c r="C22" s="31">
        <f ca="1">RAND()</f>
        <v>0.69638691836845035</v>
      </c>
      <c r="D22" s="31">
        <v>30</v>
      </c>
      <c r="E22" s="31">
        <f t="shared" ca="1" si="0"/>
        <v>3</v>
      </c>
      <c r="I22" s="160">
        <v>10</v>
      </c>
      <c r="J22" s="161" t="s">
        <v>236</v>
      </c>
      <c r="K22" s="155">
        <v>30</v>
      </c>
      <c r="L22" s="162">
        <f t="shared" si="1"/>
        <v>3</v>
      </c>
    </row>
    <row r="23" spans="2:12" x14ac:dyDescent="0.25">
      <c r="B23" s="31">
        <v>10</v>
      </c>
      <c r="C23" s="31"/>
      <c r="D23" s="31">
        <v>30</v>
      </c>
      <c r="E23" s="31">
        <f t="shared" si="0"/>
        <v>2</v>
      </c>
      <c r="I23" s="160">
        <v>10</v>
      </c>
      <c r="J23" s="161"/>
      <c r="K23" s="155">
        <v>30</v>
      </c>
      <c r="L23" s="162">
        <f t="shared" si="1"/>
        <v>2</v>
      </c>
    </row>
    <row r="24" spans="2:12" x14ac:dyDescent="0.25">
      <c r="B24" s="31">
        <v>10</v>
      </c>
      <c r="C24" s="31" t="s">
        <v>68</v>
      </c>
      <c r="D24" s="31">
        <v>30</v>
      </c>
      <c r="E24" s="31">
        <f t="shared" si="0"/>
        <v>3</v>
      </c>
      <c r="I24" s="160">
        <v>10</v>
      </c>
      <c r="J24" s="161"/>
      <c r="K24" s="155">
        <v>30</v>
      </c>
      <c r="L24" s="162">
        <f t="shared" si="1"/>
        <v>2</v>
      </c>
    </row>
    <row r="25" spans="2:12" x14ac:dyDescent="0.25">
      <c r="B25" s="31">
        <v>10</v>
      </c>
      <c r="C25" s="31" t="e">
        <f>0/0</f>
        <v>#DIV/0!</v>
      </c>
      <c r="D25" s="31">
        <v>30</v>
      </c>
      <c r="E25" s="31">
        <f t="shared" si="0"/>
        <v>3</v>
      </c>
      <c r="I25" s="160">
        <v>10</v>
      </c>
      <c r="J25" s="161" t="s">
        <v>237</v>
      </c>
      <c r="K25" s="155">
        <v>30</v>
      </c>
      <c r="L25" s="162">
        <f t="shared" si="1"/>
        <v>3</v>
      </c>
    </row>
    <row r="26" spans="2:12" x14ac:dyDescent="0.25">
      <c r="I26" s="160">
        <v>10</v>
      </c>
      <c r="J26" s="161" t="s">
        <v>238</v>
      </c>
      <c r="K26" s="155">
        <v>30</v>
      </c>
      <c r="L26" s="162">
        <f t="shared" si="1"/>
        <v>3</v>
      </c>
    </row>
  </sheetData>
  <mergeCells count="1">
    <mergeCell ref="B16:D1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16:K37"/>
  <sheetViews>
    <sheetView topLeftCell="A13" workbookViewId="0">
      <selection activeCell="O36" sqref="O36"/>
    </sheetView>
  </sheetViews>
  <sheetFormatPr defaultRowHeight="15" x14ac:dyDescent="0.25"/>
  <cols>
    <col min="3" max="3" width="12" bestFit="1" customWidth="1"/>
  </cols>
  <sheetData>
    <row r="16" spans="2:5" x14ac:dyDescent="0.25">
      <c r="B16" s="186" t="s">
        <v>70</v>
      </c>
      <c r="C16" s="187"/>
      <c r="D16" s="188"/>
      <c r="E16" s="34" t="s">
        <v>69</v>
      </c>
    </row>
    <row r="17" spans="2:11" x14ac:dyDescent="0.25">
      <c r="B17" s="31">
        <v>10</v>
      </c>
      <c r="C17" s="31">
        <v>20</v>
      </c>
      <c r="D17" s="31">
        <v>30</v>
      </c>
      <c r="E17" s="31">
        <f>COUNTBLANK(B17:D17)</f>
        <v>0</v>
      </c>
    </row>
    <row r="18" spans="2:11" x14ac:dyDescent="0.25">
      <c r="B18" s="31">
        <v>10</v>
      </c>
      <c r="C18" s="31">
        <v>0</v>
      </c>
      <c r="D18" s="31">
        <v>30</v>
      </c>
      <c r="E18" s="31">
        <f t="shared" ref="E18:E25" si="0">COUNTBLANK(B18:D18)</f>
        <v>0</v>
      </c>
    </row>
    <row r="19" spans="2:11" x14ac:dyDescent="0.25">
      <c r="B19" s="31">
        <v>10</v>
      </c>
      <c r="C19" s="31">
        <v>-20</v>
      </c>
      <c r="D19" s="31">
        <v>30</v>
      </c>
      <c r="E19" s="31">
        <f t="shared" si="0"/>
        <v>0</v>
      </c>
    </row>
    <row r="20" spans="2:11" x14ac:dyDescent="0.25">
      <c r="B20" s="31">
        <v>10</v>
      </c>
      <c r="C20" s="33">
        <v>32143</v>
      </c>
      <c r="D20" s="31">
        <v>30</v>
      </c>
      <c r="E20" s="31">
        <f t="shared" si="0"/>
        <v>0</v>
      </c>
    </row>
    <row r="21" spans="2:11" x14ac:dyDescent="0.25">
      <c r="B21" s="31">
        <v>10</v>
      </c>
      <c r="C21" s="32">
        <v>0.89583333333333337</v>
      </c>
      <c r="D21" s="31">
        <v>30</v>
      </c>
      <c r="E21" s="31">
        <f t="shared" si="0"/>
        <v>0</v>
      </c>
    </row>
    <row r="22" spans="2:11" x14ac:dyDescent="0.25">
      <c r="B22" s="31">
        <v>10</v>
      </c>
      <c r="C22" s="31">
        <f ca="1">RAND()</f>
        <v>0.12464112411001804</v>
      </c>
      <c r="D22" s="31">
        <v>30</v>
      </c>
      <c r="E22" s="31">
        <f t="shared" ca="1" si="0"/>
        <v>0</v>
      </c>
    </row>
    <row r="23" spans="2:11" x14ac:dyDescent="0.25">
      <c r="B23" s="31">
        <v>10</v>
      </c>
      <c r="C23" s="31"/>
      <c r="D23" s="31">
        <v>30</v>
      </c>
      <c r="E23" s="31">
        <f>COUNTBLANK(B23:D23)</f>
        <v>1</v>
      </c>
    </row>
    <row r="24" spans="2:11" x14ac:dyDescent="0.25">
      <c r="B24" s="31">
        <v>10</v>
      </c>
      <c r="C24" s="31" t="s">
        <v>68</v>
      </c>
      <c r="D24" s="31">
        <v>30</v>
      </c>
      <c r="E24" s="31">
        <f t="shared" si="0"/>
        <v>0</v>
      </c>
    </row>
    <row r="25" spans="2:11" x14ac:dyDescent="0.25">
      <c r="B25" s="31">
        <v>10</v>
      </c>
      <c r="C25" s="31" t="e">
        <f>0/0</f>
        <v>#DIV/0!</v>
      </c>
      <c r="D25" s="31">
        <v>30</v>
      </c>
      <c r="E25" s="31">
        <f t="shared" si="0"/>
        <v>0</v>
      </c>
    </row>
    <row r="27" spans="2:11" x14ac:dyDescent="0.25">
      <c r="H27" s="165" t="s">
        <v>233</v>
      </c>
      <c r="I27" s="165"/>
      <c r="J27" s="165"/>
      <c r="K27" s="164" t="s">
        <v>234</v>
      </c>
    </row>
    <row r="28" spans="2:11" x14ac:dyDescent="0.25">
      <c r="H28" s="157">
        <v>10</v>
      </c>
      <c r="I28" s="159">
        <v>20</v>
      </c>
      <c r="J28" s="163">
        <v>30</v>
      </c>
      <c r="K28" s="155">
        <f t="shared" ref="K28:K37" si="1">COUNTBLANK(H28:J28)</f>
        <v>0</v>
      </c>
    </row>
    <row r="29" spans="2:11" x14ac:dyDescent="0.25">
      <c r="H29" s="157">
        <v>10</v>
      </c>
      <c r="I29" s="159">
        <v>30</v>
      </c>
      <c r="J29" s="163">
        <v>30</v>
      </c>
      <c r="K29" s="155">
        <f t="shared" si="1"/>
        <v>0</v>
      </c>
    </row>
    <row r="30" spans="2:11" x14ac:dyDescent="0.25">
      <c r="H30" s="157">
        <v>10</v>
      </c>
      <c r="I30" s="159" t="s">
        <v>239</v>
      </c>
      <c r="J30" s="163">
        <v>30</v>
      </c>
      <c r="K30" s="155">
        <f t="shared" si="1"/>
        <v>0</v>
      </c>
    </row>
    <row r="31" spans="2:11" x14ac:dyDescent="0.25">
      <c r="H31" s="157">
        <v>10</v>
      </c>
      <c r="I31" s="159">
        <v>9</v>
      </c>
      <c r="J31" s="163">
        <v>30</v>
      </c>
      <c r="K31" s="155">
        <f t="shared" si="1"/>
        <v>0</v>
      </c>
    </row>
    <row r="32" spans="2:11" x14ac:dyDescent="0.25">
      <c r="H32" s="157">
        <v>10</v>
      </c>
      <c r="I32" s="159" t="s">
        <v>240</v>
      </c>
      <c r="J32" s="163">
        <v>30</v>
      </c>
      <c r="K32" s="155">
        <f t="shared" si="1"/>
        <v>0</v>
      </c>
    </row>
    <row r="33" spans="8:11" x14ac:dyDescent="0.25">
      <c r="H33" s="157">
        <v>10</v>
      </c>
      <c r="I33" s="159" t="s">
        <v>241</v>
      </c>
      <c r="J33" s="163">
        <v>30</v>
      </c>
      <c r="K33" s="155">
        <f t="shared" si="1"/>
        <v>0</v>
      </c>
    </row>
    <row r="34" spans="8:11" x14ac:dyDescent="0.25">
      <c r="H34" s="157">
        <v>10</v>
      </c>
      <c r="I34" s="159"/>
      <c r="J34" s="163">
        <v>30</v>
      </c>
      <c r="K34" s="155">
        <f t="shared" si="1"/>
        <v>1</v>
      </c>
    </row>
    <row r="35" spans="8:11" x14ac:dyDescent="0.25">
      <c r="H35" s="157">
        <v>10</v>
      </c>
      <c r="I35" s="159"/>
      <c r="J35" s="163">
        <v>30</v>
      </c>
      <c r="K35" s="155">
        <f t="shared" si="1"/>
        <v>1</v>
      </c>
    </row>
    <row r="36" spans="8:11" x14ac:dyDescent="0.25">
      <c r="H36" s="157">
        <v>10</v>
      </c>
      <c r="I36" s="159"/>
      <c r="J36" s="163">
        <v>30</v>
      </c>
      <c r="K36" s="155">
        <f t="shared" si="1"/>
        <v>1</v>
      </c>
    </row>
    <row r="37" spans="8:11" x14ac:dyDescent="0.25">
      <c r="H37" s="157">
        <v>10</v>
      </c>
      <c r="I37" s="159" t="s">
        <v>242</v>
      </c>
      <c r="J37" s="163">
        <v>30</v>
      </c>
      <c r="K37" s="155">
        <f t="shared" si="1"/>
        <v>0</v>
      </c>
    </row>
  </sheetData>
  <mergeCells count="1">
    <mergeCell ref="B16:D1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C12:L29"/>
  <sheetViews>
    <sheetView topLeftCell="A6" zoomScaleNormal="100" workbookViewId="0">
      <selection activeCell="G27" sqref="G27"/>
    </sheetView>
  </sheetViews>
  <sheetFormatPr defaultRowHeight="15" x14ac:dyDescent="0.25"/>
  <cols>
    <col min="3" max="5" width="11.140625" customWidth="1"/>
    <col min="6" max="6" width="9.7109375" bestFit="1" customWidth="1"/>
    <col min="12" max="12" width="9.85546875" bestFit="1" customWidth="1"/>
  </cols>
  <sheetData>
    <row r="12" spans="3:12" x14ac:dyDescent="0.25">
      <c r="C12" s="34" t="s">
        <v>82</v>
      </c>
      <c r="D12" s="34" t="s">
        <v>81</v>
      </c>
      <c r="E12" s="34" t="s">
        <v>80</v>
      </c>
    </row>
    <row r="13" spans="3:12" x14ac:dyDescent="0.25">
      <c r="C13" s="31" t="s">
        <v>79</v>
      </c>
      <c r="D13" s="33">
        <v>35796</v>
      </c>
      <c r="E13" s="31">
        <v>80</v>
      </c>
      <c r="L13" s="168"/>
    </row>
    <row r="14" spans="3:12" x14ac:dyDescent="0.25">
      <c r="C14" s="31" t="s">
        <v>76</v>
      </c>
      <c r="D14" s="33">
        <v>35925</v>
      </c>
      <c r="E14" s="31">
        <v>25</v>
      </c>
      <c r="L14" s="168"/>
    </row>
    <row r="15" spans="3:12" x14ac:dyDescent="0.25">
      <c r="C15" s="31" t="s">
        <v>79</v>
      </c>
      <c r="D15" s="33">
        <v>35827</v>
      </c>
      <c r="E15" s="31">
        <v>80</v>
      </c>
      <c r="L15" s="168"/>
    </row>
    <row r="16" spans="3:12" x14ac:dyDescent="0.25">
      <c r="C16" s="31" t="s">
        <v>78</v>
      </c>
      <c r="D16" s="33">
        <v>35855</v>
      </c>
      <c r="E16" s="31">
        <v>150</v>
      </c>
      <c r="L16" s="168"/>
    </row>
    <row r="17" spans="3:12" x14ac:dyDescent="0.25">
      <c r="C17" s="31" t="s">
        <v>78</v>
      </c>
      <c r="D17" s="33">
        <v>35800</v>
      </c>
      <c r="E17" s="31">
        <v>300</v>
      </c>
      <c r="L17" s="168"/>
    </row>
    <row r="18" spans="3:12" x14ac:dyDescent="0.25">
      <c r="C18" s="31" t="s">
        <v>77</v>
      </c>
      <c r="D18" s="33">
        <v>35947</v>
      </c>
      <c r="E18" s="31">
        <v>100</v>
      </c>
      <c r="L18" s="168"/>
    </row>
    <row r="19" spans="3:12" x14ac:dyDescent="0.25">
      <c r="C19" s="31" t="s">
        <v>76</v>
      </c>
      <c r="D19" s="33">
        <v>35886</v>
      </c>
      <c r="E19" s="31">
        <v>200</v>
      </c>
      <c r="L19" s="168"/>
    </row>
    <row r="20" spans="3:12" x14ac:dyDescent="0.25">
      <c r="C20" s="31" t="s">
        <v>76</v>
      </c>
      <c r="D20" s="33">
        <v>35855</v>
      </c>
      <c r="E20" s="31">
        <v>100</v>
      </c>
      <c r="L20" s="168"/>
    </row>
    <row r="21" spans="3:12" x14ac:dyDescent="0.25">
      <c r="C21" s="31" t="s">
        <v>75</v>
      </c>
      <c r="D21" s="33">
        <v>35916</v>
      </c>
      <c r="E21" s="31">
        <v>105</v>
      </c>
      <c r="L21" s="168"/>
    </row>
    <row r="25" spans="3:12" x14ac:dyDescent="0.25">
      <c r="C25" s="186" t="s">
        <v>74</v>
      </c>
      <c r="D25" s="187"/>
      <c r="E25" s="187"/>
      <c r="F25" s="188"/>
      <c r="G25" s="31">
        <f>COUNTIF(C13:C21,"brakes")</f>
        <v>2</v>
      </c>
    </row>
    <row r="26" spans="3:12" x14ac:dyDescent="0.25">
      <c r="C26" s="186" t="s">
        <v>73</v>
      </c>
      <c r="D26" s="187"/>
      <c r="E26" s="187"/>
      <c r="F26" s="188"/>
      <c r="G26" s="31">
        <f>COUNTIF(C13:C21,"tyres")</f>
        <v>3</v>
      </c>
    </row>
    <row r="27" spans="3:12" x14ac:dyDescent="0.25">
      <c r="C27" s="186" t="s">
        <v>72</v>
      </c>
      <c r="D27" s="187"/>
      <c r="E27" s="187"/>
      <c r="F27" s="188"/>
      <c r="G27" s="31">
        <f>COUNTIF(E13:E21,"&gt;=100")</f>
        <v>6</v>
      </c>
    </row>
    <row r="29" spans="3:12" x14ac:dyDescent="0.25">
      <c r="C29" s="186" t="s">
        <v>71</v>
      </c>
      <c r="D29" s="187"/>
      <c r="E29" s="188"/>
      <c r="F29" s="33" t="s">
        <v>262</v>
      </c>
      <c r="G29" s="31">
        <f>COUNTIF(C13:E21,F29)</f>
        <v>2</v>
      </c>
    </row>
  </sheetData>
  <mergeCells count="4">
    <mergeCell ref="C25:F25"/>
    <mergeCell ref="C26:F26"/>
    <mergeCell ref="C27:F27"/>
    <mergeCell ref="C29:E29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C12:G26"/>
  <sheetViews>
    <sheetView topLeftCell="A11" workbookViewId="0">
      <selection activeCell="G24" sqref="G24"/>
    </sheetView>
  </sheetViews>
  <sheetFormatPr defaultRowHeight="15" x14ac:dyDescent="0.25"/>
  <cols>
    <col min="3" max="5" width="10.7109375" customWidth="1"/>
  </cols>
  <sheetData>
    <row r="12" spans="3:5" x14ac:dyDescent="0.25">
      <c r="C12" s="34" t="s">
        <v>82</v>
      </c>
      <c r="D12" s="34" t="s">
        <v>81</v>
      </c>
      <c r="E12" s="34" t="s">
        <v>261</v>
      </c>
    </row>
    <row r="13" spans="3:5" x14ac:dyDescent="0.25">
      <c r="C13" s="31" t="s">
        <v>79</v>
      </c>
      <c r="D13" s="33">
        <v>35796</v>
      </c>
      <c r="E13" s="31">
        <v>45</v>
      </c>
    </row>
    <row r="14" spans="3:5" x14ac:dyDescent="0.25">
      <c r="C14" s="31" t="s">
        <v>76</v>
      </c>
      <c r="D14" s="33">
        <v>35925</v>
      </c>
      <c r="E14" s="31" t="s">
        <v>264</v>
      </c>
    </row>
    <row r="15" spans="3:5" x14ac:dyDescent="0.25">
      <c r="C15" s="31" t="s">
        <v>79</v>
      </c>
      <c r="D15" s="33">
        <v>35827</v>
      </c>
      <c r="E15" s="31">
        <v>80</v>
      </c>
    </row>
    <row r="16" spans="3:5" x14ac:dyDescent="0.25">
      <c r="C16" s="31" t="s">
        <v>78</v>
      </c>
      <c r="D16" s="33">
        <v>35855</v>
      </c>
      <c r="E16" s="31">
        <v>150</v>
      </c>
    </row>
    <row r="17" spans="3:7" x14ac:dyDescent="0.25">
      <c r="C17" s="31" t="s">
        <v>78</v>
      </c>
      <c r="D17" s="33">
        <v>35800</v>
      </c>
      <c r="E17" s="31">
        <v>300</v>
      </c>
    </row>
    <row r="18" spans="3:7" x14ac:dyDescent="0.25">
      <c r="C18" s="31" t="s">
        <v>77</v>
      </c>
      <c r="D18" s="33">
        <v>35947</v>
      </c>
      <c r="E18" s="31">
        <v>50</v>
      </c>
    </row>
    <row r="19" spans="3:7" x14ac:dyDescent="0.25">
      <c r="C19" s="31" t="s">
        <v>76</v>
      </c>
      <c r="D19" s="33">
        <v>35886</v>
      </c>
      <c r="E19" s="31">
        <v>200</v>
      </c>
    </row>
    <row r="20" spans="3:7" x14ac:dyDescent="0.25">
      <c r="C20" s="31" t="s">
        <v>76</v>
      </c>
      <c r="D20" s="33">
        <v>35855</v>
      </c>
      <c r="E20" s="31">
        <v>100</v>
      </c>
    </row>
    <row r="21" spans="3:7" x14ac:dyDescent="0.25">
      <c r="C21" s="31" t="s">
        <v>75</v>
      </c>
      <c r="D21" s="33">
        <v>35916</v>
      </c>
      <c r="E21" s="31">
        <v>250</v>
      </c>
    </row>
    <row r="22" spans="3:7" x14ac:dyDescent="0.25">
      <c r="G22" t="s">
        <v>263</v>
      </c>
    </row>
    <row r="24" spans="3:7" x14ac:dyDescent="0.25">
      <c r="C24" s="186" t="s">
        <v>97</v>
      </c>
      <c r="D24" s="187"/>
      <c r="E24" s="187"/>
      <c r="F24" s="188"/>
      <c r="G24" s="36">
        <f>SUMIF(C13:C21,G22,E13:E21)</f>
        <v>125</v>
      </c>
    </row>
    <row r="25" spans="3:7" x14ac:dyDescent="0.25">
      <c r="C25" s="186" t="s">
        <v>96</v>
      </c>
      <c r="D25" s="187"/>
      <c r="E25" s="187"/>
      <c r="F25" s="188"/>
      <c r="G25" s="36"/>
    </row>
    <row r="26" spans="3:7" ht="15.75" x14ac:dyDescent="0.25">
      <c r="C26" s="194" t="s">
        <v>95</v>
      </c>
      <c r="D26" s="195"/>
      <c r="E26" s="195"/>
      <c r="F26" s="196"/>
      <c r="G26" s="36"/>
    </row>
  </sheetData>
  <mergeCells count="3">
    <mergeCell ref="C26:F26"/>
    <mergeCell ref="C25:F25"/>
    <mergeCell ref="C24:F2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12:I35"/>
  <sheetViews>
    <sheetView topLeftCell="A24" workbookViewId="0">
      <selection activeCell="I34" sqref="I34"/>
    </sheetView>
  </sheetViews>
  <sheetFormatPr defaultRowHeight="15" x14ac:dyDescent="0.25"/>
  <cols>
    <col min="2" max="4" width="20" customWidth="1"/>
    <col min="5" max="5" width="26.42578125" bestFit="1" customWidth="1"/>
    <col min="6" max="6" width="11.140625" bestFit="1" customWidth="1"/>
    <col min="7" max="7" width="10" customWidth="1"/>
    <col min="8" max="8" width="12.7109375" customWidth="1"/>
    <col min="9" max="9" width="17.42578125" customWidth="1"/>
  </cols>
  <sheetData>
    <row r="12" spans="2:5" x14ac:dyDescent="0.25">
      <c r="B12" s="34" t="s">
        <v>94</v>
      </c>
      <c r="C12" s="34" t="s">
        <v>93</v>
      </c>
      <c r="D12" s="34" t="s">
        <v>92</v>
      </c>
    </row>
    <row r="13" spans="2:5" x14ac:dyDescent="0.25">
      <c r="B13" s="31" t="s">
        <v>4</v>
      </c>
      <c r="C13" s="31" t="s">
        <v>88</v>
      </c>
      <c r="D13" s="31" t="str">
        <f>CONCATENATE(C13,B13)</f>
        <v>JonesAlan</v>
      </c>
      <c r="E13" s="35" t="s">
        <v>91</v>
      </c>
    </row>
    <row r="14" spans="2:5" x14ac:dyDescent="0.25">
      <c r="B14" s="31" t="s">
        <v>5</v>
      </c>
      <c r="C14" s="31" t="s">
        <v>86</v>
      </c>
      <c r="D14" s="31" t="str">
        <f>CONCATENATE(B14," ",C14)</f>
        <v>Bob Williams</v>
      </c>
      <c r="E14" s="35" t="s">
        <v>90</v>
      </c>
    </row>
    <row r="15" spans="2:5" x14ac:dyDescent="0.25">
      <c r="B15" s="31" t="s">
        <v>6</v>
      </c>
      <c r="C15" s="31" t="s">
        <v>84</v>
      </c>
      <c r="D15" s="31"/>
      <c r="E15" s="35" t="s">
        <v>89</v>
      </c>
    </row>
    <row r="16" spans="2:5" x14ac:dyDescent="0.25">
      <c r="B16" s="31" t="s">
        <v>4</v>
      </c>
      <c r="C16" s="31" t="s">
        <v>88</v>
      </c>
      <c r="D16" s="31"/>
      <c r="E16" s="35" t="s">
        <v>87</v>
      </c>
    </row>
    <row r="17" spans="2:9" x14ac:dyDescent="0.25">
      <c r="B17" s="31" t="s">
        <v>5</v>
      </c>
      <c r="C17" s="31" t="s">
        <v>86</v>
      </c>
      <c r="D17" s="31"/>
      <c r="E17" s="35" t="s">
        <v>85</v>
      </c>
    </row>
    <row r="18" spans="2:9" x14ac:dyDescent="0.25">
      <c r="B18" s="31" t="s">
        <v>6</v>
      </c>
      <c r="C18" s="31" t="s">
        <v>84</v>
      </c>
      <c r="D18" s="31"/>
      <c r="E18" s="35" t="s">
        <v>83</v>
      </c>
    </row>
    <row r="22" spans="2:9" x14ac:dyDescent="0.25">
      <c r="F22" t="s">
        <v>211</v>
      </c>
      <c r="G22" t="s">
        <v>212</v>
      </c>
      <c r="H22" t="s">
        <v>213</v>
      </c>
      <c r="I22" t="s">
        <v>214</v>
      </c>
    </row>
    <row r="23" spans="2:9" x14ac:dyDescent="0.25">
      <c r="F23" t="s">
        <v>210</v>
      </c>
      <c r="G23" t="s">
        <v>219</v>
      </c>
      <c r="H23" t="s">
        <v>221</v>
      </c>
      <c r="I23">
        <v>4581</v>
      </c>
    </row>
    <row r="24" spans="2:9" x14ac:dyDescent="0.25">
      <c r="D24" t="str">
        <f>CONCATENATE(B14,C14)</f>
        <v>BobWilliams</v>
      </c>
      <c r="F24" t="s">
        <v>215</v>
      </c>
      <c r="G24" t="s">
        <v>220</v>
      </c>
      <c r="H24" t="s">
        <v>222</v>
      </c>
      <c r="I24">
        <v>251</v>
      </c>
    </row>
    <row r="25" spans="2:9" x14ac:dyDescent="0.25">
      <c r="F25" t="s">
        <v>216</v>
      </c>
      <c r="G25" t="s">
        <v>219</v>
      </c>
      <c r="H25" t="s">
        <v>222</v>
      </c>
      <c r="I25">
        <v>2511</v>
      </c>
    </row>
    <row r="26" spans="2:9" x14ac:dyDescent="0.25">
      <c r="F26" t="s">
        <v>217</v>
      </c>
      <c r="G26" t="s">
        <v>220</v>
      </c>
      <c r="H26" t="s">
        <v>221</v>
      </c>
      <c r="I26">
        <v>544</v>
      </c>
    </row>
    <row r="27" spans="2:9" x14ac:dyDescent="0.25">
      <c r="F27" t="s">
        <v>218</v>
      </c>
      <c r="G27" t="s">
        <v>219</v>
      </c>
      <c r="H27" t="s">
        <v>222</v>
      </c>
      <c r="I27">
        <v>2251</v>
      </c>
    </row>
    <row r="29" spans="2:9" x14ac:dyDescent="0.25">
      <c r="F29" s="139"/>
      <c r="G29" s="140"/>
      <c r="H29" s="142" t="s">
        <v>227</v>
      </c>
      <c r="I29" s="141"/>
    </row>
    <row r="30" spans="2:9" x14ac:dyDescent="0.25">
      <c r="F30" s="142" t="s">
        <v>211</v>
      </c>
      <c r="G30" s="142" t="s">
        <v>212</v>
      </c>
      <c r="H30" s="139" t="s">
        <v>226</v>
      </c>
      <c r="I30" s="145" t="s">
        <v>228</v>
      </c>
    </row>
    <row r="31" spans="2:9" x14ac:dyDescent="0.25">
      <c r="F31" s="139" t="s">
        <v>216</v>
      </c>
      <c r="G31" s="139" t="s">
        <v>219</v>
      </c>
      <c r="H31" s="146">
        <v>2511</v>
      </c>
      <c r="I31" s="147">
        <v>2511</v>
      </c>
    </row>
    <row r="32" spans="2:9" x14ac:dyDescent="0.25">
      <c r="F32" s="139" t="s">
        <v>224</v>
      </c>
      <c r="G32" s="140"/>
      <c r="H32" s="146">
        <v>2511</v>
      </c>
      <c r="I32" s="147">
        <v>2511</v>
      </c>
    </row>
    <row r="33" spans="6:9" x14ac:dyDescent="0.25">
      <c r="F33" s="139" t="s">
        <v>217</v>
      </c>
      <c r="G33" s="139" t="s">
        <v>220</v>
      </c>
      <c r="H33" s="146">
        <v>544</v>
      </c>
      <c r="I33" s="147">
        <v>544</v>
      </c>
    </row>
    <row r="34" spans="6:9" x14ac:dyDescent="0.25">
      <c r="F34" s="139" t="s">
        <v>225</v>
      </c>
      <c r="G34" s="140"/>
      <c r="H34" s="146">
        <v>544</v>
      </c>
      <c r="I34" s="147">
        <v>544</v>
      </c>
    </row>
    <row r="35" spans="6:9" x14ac:dyDescent="0.25">
      <c r="F35" s="143" t="s">
        <v>223</v>
      </c>
      <c r="G35" s="144"/>
      <c r="H35" s="148">
        <v>3055</v>
      </c>
      <c r="I35" s="149">
        <v>1527.5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3:C16"/>
  <sheetViews>
    <sheetView workbookViewId="0">
      <selection activeCell="C14" sqref="C14"/>
    </sheetView>
  </sheetViews>
  <sheetFormatPr defaultRowHeight="15" x14ac:dyDescent="0.25"/>
  <cols>
    <col min="2" max="3" width="11.5703125" customWidth="1"/>
  </cols>
  <sheetData>
    <row r="13" spans="2:3" x14ac:dyDescent="0.25">
      <c r="B13" s="34" t="s">
        <v>101</v>
      </c>
      <c r="C13" s="34" t="s">
        <v>100</v>
      </c>
    </row>
    <row r="14" spans="2:3" x14ac:dyDescent="0.25">
      <c r="B14" s="37" t="s">
        <v>68</v>
      </c>
      <c r="C14" s="31" t="str">
        <f>CLEAN(B14)</f>
        <v>Hello</v>
      </c>
    </row>
    <row r="15" spans="2:3" x14ac:dyDescent="0.25">
      <c r="B15" s="37" t="s">
        <v>99</v>
      </c>
      <c r="C15" s="31" t="str">
        <f t="shared" ref="C15:C16" si="0">CLEAN(B15)</f>
        <v>Hello</v>
      </c>
    </row>
    <row r="16" spans="2:3" x14ac:dyDescent="0.25">
      <c r="B16" s="37" t="s">
        <v>98</v>
      </c>
      <c r="C16" s="31" t="str">
        <f t="shared" si="0"/>
        <v>Hello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17:J95"/>
  <sheetViews>
    <sheetView topLeftCell="A29" workbookViewId="0">
      <selection activeCell="E44" sqref="E44"/>
    </sheetView>
  </sheetViews>
  <sheetFormatPr defaultRowHeight="15" x14ac:dyDescent="0.25"/>
  <cols>
    <col min="2" max="2" width="25" bestFit="1" customWidth="1"/>
    <col min="3" max="3" width="13.140625" bestFit="1" customWidth="1"/>
    <col min="4" max="4" width="12.85546875" bestFit="1" customWidth="1"/>
    <col min="5" max="5" width="19.42578125" bestFit="1" customWidth="1"/>
    <col min="6" max="6" width="9" bestFit="1" customWidth="1"/>
    <col min="7" max="7" width="8.5703125" bestFit="1" customWidth="1"/>
  </cols>
  <sheetData>
    <row r="17" spans="2:9" ht="15.75" thickBot="1" x14ac:dyDescent="0.3"/>
    <row r="18" spans="2:9" ht="27" thickTop="1" x14ac:dyDescent="0.25">
      <c r="B18" s="69" t="s">
        <v>39</v>
      </c>
      <c r="C18" s="68" t="s">
        <v>104</v>
      </c>
      <c r="D18" s="68" t="s">
        <v>124</v>
      </c>
      <c r="E18" s="68" t="s">
        <v>108</v>
      </c>
      <c r="F18" s="68" t="s">
        <v>123</v>
      </c>
      <c r="G18" s="68" t="s">
        <v>122</v>
      </c>
      <c r="H18" s="68" t="s">
        <v>121</v>
      </c>
      <c r="I18" s="67" t="s">
        <v>120</v>
      </c>
    </row>
    <row r="19" spans="2:9" x14ac:dyDescent="0.25">
      <c r="B19" s="66" t="s">
        <v>103</v>
      </c>
      <c r="C19" s="64">
        <v>200</v>
      </c>
      <c r="D19" s="64">
        <v>3000</v>
      </c>
      <c r="E19" s="64" t="s">
        <v>107</v>
      </c>
      <c r="F19" s="65">
        <v>4.5</v>
      </c>
      <c r="G19" s="64">
        <v>4</v>
      </c>
      <c r="H19" s="64">
        <v>3</v>
      </c>
      <c r="I19" s="60">
        <f t="shared" ref="I19:I34" si="0">F19*G19*H19</f>
        <v>54</v>
      </c>
    </row>
    <row r="20" spans="2:9" x14ac:dyDescent="0.25">
      <c r="B20" s="66" t="s">
        <v>117</v>
      </c>
      <c r="C20" s="64">
        <v>100</v>
      </c>
      <c r="D20" s="64">
        <v>2000</v>
      </c>
      <c r="E20" s="64" t="s">
        <v>107</v>
      </c>
      <c r="F20" s="65">
        <v>2</v>
      </c>
      <c r="G20" s="64">
        <v>15</v>
      </c>
      <c r="H20" s="64">
        <v>2</v>
      </c>
      <c r="I20" s="60">
        <f t="shared" si="0"/>
        <v>60</v>
      </c>
    </row>
    <row r="21" spans="2:9" x14ac:dyDescent="0.25">
      <c r="B21" s="66" t="s">
        <v>119</v>
      </c>
      <c r="C21" s="64">
        <v>60</v>
      </c>
      <c r="D21" s="64"/>
      <c r="E21" s="64"/>
      <c r="F21" s="65"/>
      <c r="G21" s="64"/>
      <c r="H21" s="64"/>
      <c r="I21" s="60">
        <f t="shared" si="0"/>
        <v>0</v>
      </c>
    </row>
    <row r="22" spans="2:9" x14ac:dyDescent="0.25">
      <c r="B22" s="66" t="s">
        <v>118</v>
      </c>
      <c r="C22" s="64">
        <v>10</v>
      </c>
      <c r="D22" s="64">
        <v>8000</v>
      </c>
      <c r="E22" s="64" t="s">
        <v>115</v>
      </c>
      <c r="F22" s="65">
        <v>0.8</v>
      </c>
      <c r="G22" s="64">
        <v>25</v>
      </c>
      <c r="H22" s="64">
        <v>6</v>
      </c>
      <c r="I22" s="60">
        <f t="shared" si="0"/>
        <v>120</v>
      </c>
    </row>
    <row r="23" spans="2:9" x14ac:dyDescent="0.25">
      <c r="B23" s="66" t="s">
        <v>103</v>
      </c>
      <c r="C23" s="64">
        <v>80</v>
      </c>
      <c r="D23" s="64">
        <v>1000</v>
      </c>
      <c r="E23" s="64" t="s">
        <v>107</v>
      </c>
      <c r="F23" s="65">
        <v>0.2</v>
      </c>
      <c r="G23" s="64">
        <v>40</v>
      </c>
      <c r="H23" s="64">
        <v>3</v>
      </c>
      <c r="I23" s="60">
        <f t="shared" si="0"/>
        <v>24</v>
      </c>
    </row>
    <row r="24" spans="2:9" x14ac:dyDescent="0.25">
      <c r="B24" s="66" t="s">
        <v>119</v>
      </c>
      <c r="C24" s="64">
        <v>100</v>
      </c>
      <c r="D24" s="64" t="s">
        <v>116</v>
      </c>
      <c r="E24" s="64" t="s">
        <v>107</v>
      </c>
      <c r="F24" s="65">
        <v>1.25</v>
      </c>
      <c r="G24" s="64">
        <v>10</v>
      </c>
      <c r="H24" s="64">
        <v>4</v>
      </c>
      <c r="I24" s="60">
        <f t="shared" si="0"/>
        <v>50</v>
      </c>
    </row>
    <row r="25" spans="2:9" x14ac:dyDescent="0.25">
      <c r="B25" s="66" t="s">
        <v>119</v>
      </c>
      <c r="C25" s="64">
        <v>200</v>
      </c>
      <c r="D25" s="64">
        <v>3000</v>
      </c>
      <c r="E25" s="64" t="s">
        <v>107</v>
      </c>
      <c r="F25" s="65">
        <v>2.5</v>
      </c>
      <c r="G25" s="64">
        <v>15</v>
      </c>
      <c r="H25" s="64">
        <v>0</v>
      </c>
      <c r="I25" s="60">
        <f t="shared" si="0"/>
        <v>0</v>
      </c>
    </row>
    <row r="26" spans="2:9" x14ac:dyDescent="0.25">
      <c r="B26" s="66" t="s">
        <v>118</v>
      </c>
      <c r="C26" s="64">
        <v>25</v>
      </c>
      <c r="D26" s="64" t="s">
        <v>116</v>
      </c>
      <c r="E26" s="64" t="s">
        <v>115</v>
      </c>
      <c r="F26" s="65">
        <v>0.5</v>
      </c>
      <c r="G26" s="64">
        <v>10</v>
      </c>
      <c r="H26" s="64">
        <v>3</v>
      </c>
      <c r="I26" s="60">
        <f t="shared" si="0"/>
        <v>15</v>
      </c>
    </row>
    <row r="27" spans="2:9" x14ac:dyDescent="0.25">
      <c r="B27" s="66" t="s">
        <v>103</v>
      </c>
      <c r="C27" s="64">
        <v>200</v>
      </c>
      <c r="D27" s="64">
        <v>3000</v>
      </c>
      <c r="E27" s="64" t="s">
        <v>115</v>
      </c>
      <c r="F27" s="65">
        <v>5</v>
      </c>
      <c r="G27" s="64">
        <v>3</v>
      </c>
      <c r="H27" s="64">
        <v>2</v>
      </c>
      <c r="I27" s="60">
        <f t="shared" si="0"/>
        <v>30</v>
      </c>
    </row>
    <row r="28" spans="2:9" x14ac:dyDescent="0.25">
      <c r="B28" s="66" t="s">
        <v>117</v>
      </c>
      <c r="C28" s="64">
        <v>100</v>
      </c>
      <c r="D28" s="64">
        <v>2000</v>
      </c>
      <c r="E28" s="64" t="s">
        <v>115</v>
      </c>
      <c r="F28" s="65">
        <v>1.8</v>
      </c>
      <c r="G28" s="64">
        <v>20</v>
      </c>
      <c r="H28" s="64">
        <v>5</v>
      </c>
      <c r="I28" s="60">
        <f t="shared" si="0"/>
        <v>180</v>
      </c>
    </row>
    <row r="29" spans="2:9" x14ac:dyDescent="0.25">
      <c r="B29" s="66" t="s">
        <v>103</v>
      </c>
      <c r="C29" s="64">
        <v>100</v>
      </c>
      <c r="D29" s="64" t="s">
        <v>116</v>
      </c>
      <c r="E29" s="64" t="s">
        <v>115</v>
      </c>
      <c r="F29" s="65">
        <v>0.25</v>
      </c>
      <c r="G29" s="64">
        <v>10</v>
      </c>
      <c r="H29" s="64">
        <v>5</v>
      </c>
      <c r="I29" s="60">
        <f t="shared" si="0"/>
        <v>12.5</v>
      </c>
    </row>
    <row r="30" spans="2:9" x14ac:dyDescent="0.25">
      <c r="B30" s="66" t="s">
        <v>103</v>
      </c>
      <c r="C30" s="64">
        <v>10</v>
      </c>
      <c r="D30" s="64">
        <v>800</v>
      </c>
      <c r="E30" s="64" t="s">
        <v>107</v>
      </c>
      <c r="F30" s="65">
        <v>0.2</v>
      </c>
      <c r="G30" s="64">
        <v>25</v>
      </c>
      <c r="H30" s="64">
        <v>2</v>
      </c>
      <c r="I30" s="60">
        <f t="shared" si="0"/>
        <v>10</v>
      </c>
    </row>
    <row r="31" spans="2:9" x14ac:dyDescent="0.25">
      <c r="B31" s="66" t="s">
        <v>103</v>
      </c>
      <c r="C31" s="64">
        <v>60</v>
      </c>
      <c r="D31" s="64">
        <v>1000</v>
      </c>
      <c r="E31" s="64" t="s">
        <v>115</v>
      </c>
      <c r="F31" s="65">
        <v>0.15</v>
      </c>
      <c r="G31" s="64">
        <v>25</v>
      </c>
      <c r="H31" s="64">
        <v>0</v>
      </c>
      <c r="I31" s="60">
        <f t="shared" si="0"/>
        <v>0</v>
      </c>
    </row>
    <row r="32" spans="2:9" x14ac:dyDescent="0.25">
      <c r="B32" s="66" t="s">
        <v>103</v>
      </c>
      <c r="C32" s="64">
        <v>80</v>
      </c>
      <c r="D32" s="64">
        <v>1000</v>
      </c>
      <c r="E32" s="64" t="s">
        <v>115</v>
      </c>
      <c r="F32" s="65">
        <v>0.2</v>
      </c>
      <c r="G32" s="64">
        <v>30</v>
      </c>
      <c r="H32" s="64">
        <v>2</v>
      </c>
      <c r="I32" s="60">
        <f t="shared" si="0"/>
        <v>12</v>
      </c>
    </row>
    <row r="33" spans="2:9" x14ac:dyDescent="0.25">
      <c r="B33" s="66" t="s">
        <v>103</v>
      </c>
      <c r="C33" s="64">
        <v>100</v>
      </c>
      <c r="D33" s="64">
        <v>2000</v>
      </c>
      <c r="E33" s="64" t="s">
        <v>107</v>
      </c>
      <c r="F33" s="65">
        <v>0.8</v>
      </c>
      <c r="G33" s="64">
        <v>10</v>
      </c>
      <c r="H33" s="64">
        <v>5</v>
      </c>
      <c r="I33" s="60">
        <f t="shared" si="0"/>
        <v>40</v>
      </c>
    </row>
    <row r="34" spans="2:9" ht="15.75" thickBot="1" x14ac:dyDescent="0.3">
      <c r="B34" s="63" t="s">
        <v>103</v>
      </c>
      <c r="C34" s="61">
        <v>40</v>
      </c>
      <c r="D34" s="61">
        <v>1000</v>
      </c>
      <c r="E34" s="61" t="s">
        <v>107</v>
      </c>
      <c r="F34" s="62">
        <v>0.1</v>
      </c>
      <c r="G34" s="61">
        <v>20</v>
      </c>
      <c r="H34" s="61">
        <v>5</v>
      </c>
      <c r="I34" s="60">
        <f t="shared" si="0"/>
        <v>10</v>
      </c>
    </row>
    <row r="35" spans="2:9" ht="15.75" thickTop="1" x14ac:dyDescent="0.25"/>
    <row r="36" spans="2:9" x14ac:dyDescent="0.25">
      <c r="B36" s="48" t="s">
        <v>114</v>
      </c>
    </row>
    <row r="37" spans="2:9" ht="15.75" thickBot="1" x14ac:dyDescent="0.3"/>
    <row r="38" spans="2:9" ht="16.5" thickBot="1" x14ac:dyDescent="0.3">
      <c r="B38" s="197" t="s">
        <v>113</v>
      </c>
      <c r="C38" s="198"/>
      <c r="D38" s="198"/>
      <c r="E38" s="198"/>
      <c r="F38" s="198"/>
      <c r="G38" s="198"/>
      <c r="H38" s="199"/>
    </row>
    <row r="39" spans="2:9" ht="15.75" thickBot="1" x14ac:dyDescent="0.3"/>
    <row r="40" spans="2:9" ht="15.75" thickTop="1" x14ac:dyDescent="0.25">
      <c r="E40" s="59" t="s">
        <v>108</v>
      </c>
    </row>
    <row r="41" spans="2:9" ht="15.75" thickBot="1" x14ac:dyDescent="0.3">
      <c r="B41" s="51" t="s">
        <v>112</v>
      </c>
      <c r="C41" s="40"/>
      <c r="D41" s="40"/>
      <c r="E41" s="58" t="s">
        <v>111</v>
      </c>
    </row>
    <row r="42" spans="2:9" ht="15.75" thickTop="1" x14ac:dyDescent="0.25"/>
    <row r="43" spans="2:9" ht="15.75" thickBot="1" x14ac:dyDescent="0.3"/>
    <row r="44" spans="2:9" ht="15.75" thickBot="1" x14ac:dyDescent="0.3">
      <c r="B44" s="57" t="str">
        <f>"The Average cost of "&amp;C42&amp;" is : "</f>
        <v xml:space="preserve">The Average cost of  is : </v>
      </c>
      <c r="C44" s="40"/>
      <c r="D44" s="50"/>
      <c r="E44" s="56">
        <f>DAVERAGE(B18:I34,F18,E40:E41)</f>
        <v>1.2428571428571427</v>
      </c>
    </row>
    <row r="45" spans="2:9" s="52" customFormat="1" x14ac:dyDescent="0.25">
      <c r="B45" s="55"/>
      <c r="C45" s="54"/>
      <c r="E45" s="53"/>
    </row>
    <row r="46" spans="2:9" s="52" customFormat="1" x14ac:dyDescent="0.25">
      <c r="B46" s="55"/>
      <c r="C46" s="54"/>
      <c r="E46" s="53"/>
    </row>
    <row r="48" spans="2:9" x14ac:dyDescent="0.25">
      <c r="B48" s="48" t="s">
        <v>110</v>
      </c>
    </row>
    <row r="49" spans="2:8" ht="15.75" thickBot="1" x14ac:dyDescent="0.3"/>
    <row r="50" spans="2:8" ht="15.75" thickBot="1" x14ac:dyDescent="0.3">
      <c r="B50" s="200" t="s">
        <v>109</v>
      </c>
      <c r="C50" s="201"/>
      <c r="D50" s="201"/>
      <c r="E50" s="201"/>
      <c r="F50" s="201"/>
      <c r="G50" s="201"/>
      <c r="H50" s="202"/>
    </row>
    <row r="51" spans="2:8" ht="15.75" thickBot="1" x14ac:dyDescent="0.3"/>
    <row r="52" spans="2:8" ht="15.75" thickTop="1" x14ac:dyDescent="0.25">
      <c r="B52" s="47" t="s">
        <v>39</v>
      </c>
      <c r="C52" s="46" t="s">
        <v>108</v>
      </c>
    </row>
    <row r="53" spans="2:8" ht="15.75" thickBot="1" x14ac:dyDescent="0.3">
      <c r="B53" s="45" t="s">
        <v>103</v>
      </c>
      <c r="C53" s="44" t="s">
        <v>107</v>
      </c>
    </row>
    <row r="54" spans="2:8" ht="15.75" thickTop="1" x14ac:dyDescent="0.25"/>
    <row r="55" spans="2:8" ht="15.75" thickBot="1" x14ac:dyDescent="0.3"/>
    <row r="56" spans="2:8" ht="15.75" thickBot="1" x14ac:dyDescent="0.3">
      <c r="B56" s="51" t="str">
        <f>"The average of Horizon is : "</f>
        <v xml:space="preserve">The average of Horizon is : </v>
      </c>
      <c r="C56" s="40"/>
      <c r="D56" s="50"/>
      <c r="E56" s="49">
        <f>DAVERAGE(B18:I34,F18,B52:C53)</f>
        <v>1.1599999999999999</v>
      </c>
    </row>
    <row r="59" spans="2:8" x14ac:dyDescent="0.25">
      <c r="B59" s="48" t="s">
        <v>106</v>
      </c>
    </row>
    <row r="60" spans="2:8" ht="15.75" thickBot="1" x14ac:dyDescent="0.3"/>
    <row r="61" spans="2:8" ht="15.75" thickBot="1" x14ac:dyDescent="0.3">
      <c r="B61" s="203" t="s">
        <v>105</v>
      </c>
      <c r="C61" s="204"/>
      <c r="D61" s="204"/>
      <c r="E61" s="204"/>
      <c r="F61" s="204"/>
      <c r="G61" s="204"/>
      <c r="H61" s="205"/>
    </row>
    <row r="62" spans="2:8" ht="15.75" thickBot="1" x14ac:dyDescent="0.3"/>
    <row r="63" spans="2:8" ht="15.75" thickTop="1" x14ac:dyDescent="0.25">
      <c r="B63" s="47" t="s">
        <v>39</v>
      </c>
      <c r="C63" s="46" t="s">
        <v>104</v>
      </c>
    </row>
    <row r="64" spans="2:8" ht="15.75" thickBot="1" x14ac:dyDescent="0.3">
      <c r="B64" s="45" t="s">
        <v>103</v>
      </c>
      <c r="C64" s="44">
        <v>100</v>
      </c>
    </row>
    <row r="65" spans="2:6" ht="16.5" thickTop="1" thickBot="1" x14ac:dyDescent="0.3"/>
    <row r="66" spans="2:6" ht="15.75" thickBot="1" x14ac:dyDescent="0.3">
      <c r="B66" s="40" t="str">
        <f>"Average of Bulb 100 is : "</f>
        <v xml:space="preserve">Average of Bulb 100 is : </v>
      </c>
      <c r="C66" s="40"/>
      <c r="D66" s="40"/>
      <c r="E66" s="43">
        <f>DAVERAGE(B18:I34,F18,B63:C64)</f>
        <v>0.52500000000000002</v>
      </c>
    </row>
    <row r="70" spans="2:6" ht="15.75" thickBot="1" x14ac:dyDescent="0.3"/>
    <row r="71" spans="2:6" ht="18.75" thickBot="1" x14ac:dyDescent="0.3">
      <c r="B71" s="206" t="s">
        <v>41</v>
      </c>
      <c r="C71" s="207"/>
      <c r="D71" s="207"/>
      <c r="E71" s="207"/>
      <c r="F71" s="208"/>
    </row>
    <row r="73" spans="2:6" ht="16.5" x14ac:dyDescent="0.25">
      <c r="B73" s="13" t="s">
        <v>40</v>
      </c>
      <c r="C73" s="13" t="s">
        <v>39</v>
      </c>
      <c r="D73" s="13" t="s">
        <v>38</v>
      </c>
      <c r="E73" s="13" t="s">
        <v>37</v>
      </c>
      <c r="F73" s="13" t="s">
        <v>2</v>
      </c>
    </row>
    <row r="74" spans="2:6" ht="15.75" x14ac:dyDescent="0.25">
      <c r="B74" s="11" t="s">
        <v>29</v>
      </c>
      <c r="C74" s="11" t="s">
        <v>35</v>
      </c>
      <c r="D74" s="11">
        <v>500</v>
      </c>
      <c r="E74" s="11">
        <v>26</v>
      </c>
      <c r="F74" s="11">
        <v>30</v>
      </c>
    </row>
    <row r="75" spans="2:6" ht="15.75" x14ac:dyDescent="0.25">
      <c r="B75" s="11" t="s">
        <v>31</v>
      </c>
      <c r="C75" s="11" t="s">
        <v>35</v>
      </c>
      <c r="D75" s="11">
        <v>800</v>
      </c>
      <c r="E75" s="11">
        <v>17</v>
      </c>
      <c r="F75" s="11">
        <v>25</v>
      </c>
    </row>
    <row r="76" spans="2:6" ht="15.75" x14ac:dyDescent="0.25">
      <c r="B76" s="11" t="s">
        <v>34</v>
      </c>
      <c r="C76" s="11" t="s">
        <v>30</v>
      </c>
      <c r="D76" s="11">
        <v>800</v>
      </c>
      <c r="E76" s="11">
        <v>40</v>
      </c>
      <c r="F76" s="11">
        <v>25</v>
      </c>
    </row>
    <row r="77" spans="2:6" ht="15.75" x14ac:dyDescent="0.25">
      <c r="B77" s="11" t="s">
        <v>29</v>
      </c>
      <c r="C77" s="11" t="s">
        <v>36</v>
      </c>
      <c r="D77" s="11">
        <v>860</v>
      </c>
      <c r="E77" s="11">
        <v>25</v>
      </c>
      <c r="F77" s="11">
        <v>20</v>
      </c>
    </row>
    <row r="78" spans="2:6" ht="15.75" x14ac:dyDescent="0.25">
      <c r="B78" s="11" t="s">
        <v>31</v>
      </c>
      <c r="C78" s="11" t="s">
        <v>36</v>
      </c>
      <c r="D78" s="11">
        <v>400</v>
      </c>
      <c r="E78" s="11">
        <v>34</v>
      </c>
      <c r="F78" s="11">
        <v>25</v>
      </c>
    </row>
    <row r="79" spans="2:6" ht="15.75" x14ac:dyDescent="0.25">
      <c r="B79" s="11" t="s">
        <v>32</v>
      </c>
      <c r="C79" s="11" t="s">
        <v>35</v>
      </c>
      <c r="D79" s="11">
        <v>890</v>
      </c>
      <c r="E79" s="11">
        <v>78</v>
      </c>
      <c r="F79" s="11">
        <v>90</v>
      </c>
    </row>
    <row r="80" spans="2:6" ht="15.75" x14ac:dyDescent="0.25">
      <c r="B80" s="11" t="s">
        <v>32</v>
      </c>
      <c r="C80" s="11" t="s">
        <v>28</v>
      </c>
      <c r="D80" s="11">
        <v>345</v>
      </c>
      <c r="E80" s="11">
        <v>4</v>
      </c>
      <c r="F80" s="11">
        <v>6</v>
      </c>
    </row>
    <row r="81" spans="2:10" ht="15.75" x14ac:dyDescent="0.25">
      <c r="B81" s="11" t="s">
        <v>31</v>
      </c>
      <c r="C81" s="11" t="s">
        <v>33</v>
      </c>
      <c r="D81" s="11">
        <v>1200</v>
      </c>
      <c r="E81" s="11">
        <v>12</v>
      </c>
      <c r="F81" s="11">
        <v>15</v>
      </c>
    </row>
    <row r="82" spans="2:10" ht="15.75" x14ac:dyDescent="0.25">
      <c r="B82" s="11" t="s">
        <v>29</v>
      </c>
      <c r="C82" s="11" t="s">
        <v>35</v>
      </c>
      <c r="D82" s="11">
        <v>670</v>
      </c>
      <c r="E82" s="11">
        <v>22</v>
      </c>
      <c r="F82" s="11">
        <v>25</v>
      </c>
    </row>
    <row r="83" spans="2:10" ht="15.75" x14ac:dyDescent="0.25">
      <c r="B83" s="11" t="s">
        <v>34</v>
      </c>
      <c r="C83" s="11" t="s">
        <v>28</v>
      </c>
      <c r="D83" s="11">
        <v>890</v>
      </c>
      <c r="E83" s="11">
        <v>45</v>
      </c>
      <c r="F83" s="11">
        <v>50</v>
      </c>
    </row>
    <row r="84" spans="2:10" ht="15.75" x14ac:dyDescent="0.25">
      <c r="B84" s="11" t="s">
        <v>29</v>
      </c>
      <c r="C84" s="11" t="s">
        <v>33</v>
      </c>
      <c r="D84" s="11">
        <v>675</v>
      </c>
      <c r="E84" s="11">
        <v>70</v>
      </c>
      <c r="F84" s="11">
        <v>75</v>
      </c>
    </row>
    <row r="85" spans="2:10" ht="15.75" x14ac:dyDescent="0.25">
      <c r="B85" s="11" t="s">
        <v>31</v>
      </c>
      <c r="C85" s="11" t="s">
        <v>33</v>
      </c>
      <c r="D85" s="11">
        <v>890</v>
      </c>
      <c r="E85" s="11">
        <v>90</v>
      </c>
      <c r="F85" s="11">
        <v>75</v>
      </c>
    </row>
    <row r="86" spans="2:10" ht="15.75" x14ac:dyDescent="0.25">
      <c r="B86" s="11" t="s">
        <v>32</v>
      </c>
      <c r="C86" s="11" t="s">
        <v>30</v>
      </c>
      <c r="D86" s="11">
        <v>345</v>
      </c>
      <c r="E86" s="11">
        <v>17</v>
      </c>
      <c r="F86" s="11">
        <v>15</v>
      </c>
    </row>
    <row r="87" spans="2:10" ht="15.75" x14ac:dyDescent="0.25">
      <c r="B87" s="11" t="s">
        <v>31</v>
      </c>
      <c r="C87" s="11" t="s">
        <v>30</v>
      </c>
      <c r="D87" s="11">
        <v>1000</v>
      </c>
      <c r="E87" s="11">
        <v>20</v>
      </c>
      <c r="F87" s="11">
        <v>10</v>
      </c>
    </row>
    <row r="88" spans="2:10" ht="15.75" x14ac:dyDescent="0.25">
      <c r="B88" s="11" t="s">
        <v>29</v>
      </c>
      <c r="C88" s="11" t="s">
        <v>28</v>
      </c>
      <c r="D88" s="11">
        <v>670</v>
      </c>
      <c r="E88" s="11">
        <v>90</v>
      </c>
      <c r="F88" s="11">
        <v>100</v>
      </c>
    </row>
    <row r="91" spans="2:10" ht="15.75" x14ac:dyDescent="0.25">
      <c r="C91" s="42" t="s">
        <v>40</v>
      </c>
      <c r="E91" s="138"/>
    </row>
    <row r="92" spans="2:10" x14ac:dyDescent="0.25">
      <c r="C92" s="41" t="s">
        <v>29</v>
      </c>
      <c r="E92" s="138"/>
    </row>
    <row r="93" spans="2:10" ht="15.75" thickBot="1" x14ac:dyDescent="0.3"/>
    <row r="94" spans="2:10" ht="15.75" thickBot="1" x14ac:dyDescent="0.3">
      <c r="B94" s="40" t="s">
        <v>102</v>
      </c>
      <c r="C94" s="39">
        <f>DAVERAGE(B73:F88,E73,C91:C92)</f>
        <v>46.6</v>
      </c>
    </row>
    <row r="95" spans="2:10" x14ac:dyDescent="0.25">
      <c r="J95" s="38"/>
    </row>
  </sheetData>
  <mergeCells count="4">
    <mergeCell ref="B38:H38"/>
    <mergeCell ref="B50:H50"/>
    <mergeCell ref="B61:H61"/>
    <mergeCell ref="B71:F71"/>
  </mergeCells>
  <pageMargins left="0.7" right="0.7" top="0.75" bottom="0.75" header="0.3" footer="0.3"/>
  <pageSetup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B18:I95"/>
  <sheetViews>
    <sheetView topLeftCell="A19" zoomScale="86" zoomScaleNormal="86" workbookViewId="0">
      <selection activeCell="C57" sqref="C57"/>
    </sheetView>
  </sheetViews>
  <sheetFormatPr defaultRowHeight="15" x14ac:dyDescent="0.25"/>
  <cols>
    <col min="2" max="2" width="28" bestFit="1" customWidth="1"/>
    <col min="3" max="3" width="13.140625" bestFit="1" customWidth="1"/>
    <col min="4" max="4" width="12.85546875" bestFit="1" customWidth="1"/>
    <col min="5" max="5" width="19.42578125" bestFit="1" customWidth="1"/>
  </cols>
  <sheetData>
    <row r="18" spans="2:9" ht="15.75" thickBot="1" x14ac:dyDescent="0.3"/>
    <row r="19" spans="2:9" ht="27" thickTop="1" x14ac:dyDescent="0.25">
      <c r="B19" s="69" t="s">
        <v>39</v>
      </c>
      <c r="C19" s="68" t="s">
        <v>104</v>
      </c>
      <c r="D19" s="68" t="s">
        <v>124</v>
      </c>
      <c r="E19" s="68" t="s">
        <v>108</v>
      </c>
      <c r="F19" s="68" t="s">
        <v>123</v>
      </c>
      <c r="G19" s="68" t="s">
        <v>122</v>
      </c>
      <c r="H19" s="68" t="s">
        <v>121</v>
      </c>
      <c r="I19" s="67" t="s">
        <v>120</v>
      </c>
    </row>
    <row r="20" spans="2:9" x14ac:dyDescent="0.25">
      <c r="B20" s="66" t="s">
        <v>103</v>
      </c>
      <c r="C20" s="64">
        <v>200</v>
      </c>
      <c r="D20" s="64">
        <v>3000</v>
      </c>
      <c r="E20" s="64" t="s">
        <v>107</v>
      </c>
      <c r="F20" s="65">
        <v>4.5</v>
      </c>
      <c r="G20" s="64">
        <v>4</v>
      </c>
      <c r="H20" s="64">
        <v>3</v>
      </c>
      <c r="I20" s="60">
        <f t="shared" ref="I20:I35" si="0">F20*G20*H20</f>
        <v>54</v>
      </c>
    </row>
    <row r="21" spans="2:9" x14ac:dyDescent="0.25">
      <c r="B21" s="66" t="s">
        <v>117</v>
      </c>
      <c r="C21" s="64">
        <v>100</v>
      </c>
      <c r="D21" s="64">
        <v>2000</v>
      </c>
      <c r="E21" s="64" t="s">
        <v>107</v>
      </c>
      <c r="F21" s="65">
        <v>2</v>
      </c>
      <c r="G21" s="64">
        <v>15</v>
      </c>
      <c r="H21" s="64">
        <v>2</v>
      </c>
      <c r="I21" s="60">
        <f t="shared" si="0"/>
        <v>60</v>
      </c>
    </row>
    <row r="22" spans="2:9" x14ac:dyDescent="0.25">
      <c r="B22" s="66" t="s">
        <v>119</v>
      </c>
      <c r="C22" s="64">
        <v>60</v>
      </c>
      <c r="D22" s="64"/>
      <c r="E22" s="64"/>
      <c r="F22" s="65"/>
      <c r="G22" s="64"/>
      <c r="H22" s="64"/>
      <c r="I22" s="60">
        <f t="shared" si="0"/>
        <v>0</v>
      </c>
    </row>
    <row r="23" spans="2:9" x14ac:dyDescent="0.25">
      <c r="B23" s="66" t="s">
        <v>118</v>
      </c>
      <c r="C23" s="64">
        <v>10</v>
      </c>
      <c r="D23" s="64">
        <v>8000</v>
      </c>
      <c r="E23" s="64" t="s">
        <v>115</v>
      </c>
      <c r="F23" s="65">
        <v>0.8</v>
      </c>
      <c r="G23" s="64">
        <v>25</v>
      </c>
      <c r="H23" s="64">
        <v>6</v>
      </c>
      <c r="I23" s="60">
        <f t="shared" si="0"/>
        <v>120</v>
      </c>
    </row>
    <row r="24" spans="2:9" x14ac:dyDescent="0.25">
      <c r="B24" s="66" t="s">
        <v>103</v>
      </c>
      <c r="C24" s="64">
        <v>80</v>
      </c>
      <c r="D24" s="64">
        <v>1000</v>
      </c>
      <c r="E24" s="64" t="s">
        <v>107</v>
      </c>
      <c r="F24" s="65">
        <v>0.2</v>
      </c>
      <c r="G24" s="64">
        <v>40</v>
      </c>
      <c r="H24" s="64">
        <v>3</v>
      </c>
      <c r="I24" s="60">
        <f t="shared" si="0"/>
        <v>24</v>
      </c>
    </row>
    <row r="25" spans="2:9" x14ac:dyDescent="0.25">
      <c r="B25" s="66" t="s">
        <v>119</v>
      </c>
      <c r="C25" s="64">
        <v>100</v>
      </c>
      <c r="D25" s="64" t="s">
        <v>116</v>
      </c>
      <c r="E25" s="64" t="s">
        <v>107</v>
      </c>
      <c r="F25" s="65">
        <v>1.25</v>
      </c>
      <c r="G25" s="64">
        <v>10</v>
      </c>
      <c r="H25" s="64">
        <v>4</v>
      </c>
      <c r="I25" s="60">
        <f t="shared" si="0"/>
        <v>50</v>
      </c>
    </row>
    <row r="26" spans="2:9" x14ac:dyDescent="0.25">
      <c r="B26" s="66" t="s">
        <v>119</v>
      </c>
      <c r="C26" s="64">
        <v>200</v>
      </c>
      <c r="D26" s="64">
        <v>3000</v>
      </c>
      <c r="E26" s="64" t="s">
        <v>107</v>
      </c>
      <c r="F26" s="65">
        <v>2.5</v>
      </c>
      <c r="G26" s="64">
        <v>15</v>
      </c>
      <c r="H26" s="64">
        <v>0</v>
      </c>
      <c r="I26" s="60">
        <f t="shared" si="0"/>
        <v>0</v>
      </c>
    </row>
    <row r="27" spans="2:9" x14ac:dyDescent="0.25">
      <c r="B27" s="66" t="s">
        <v>118</v>
      </c>
      <c r="C27" s="64">
        <v>25</v>
      </c>
      <c r="D27" s="64" t="s">
        <v>116</v>
      </c>
      <c r="E27" s="64" t="s">
        <v>115</v>
      </c>
      <c r="F27" s="65">
        <v>0.5</v>
      </c>
      <c r="G27" s="64">
        <v>10</v>
      </c>
      <c r="H27" s="64">
        <v>3</v>
      </c>
      <c r="I27" s="60">
        <f t="shared" si="0"/>
        <v>15</v>
      </c>
    </row>
    <row r="28" spans="2:9" x14ac:dyDescent="0.25">
      <c r="B28" s="66" t="s">
        <v>103</v>
      </c>
      <c r="C28" s="64">
        <v>200</v>
      </c>
      <c r="D28" s="64">
        <v>3000</v>
      </c>
      <c r="E28" s="64" t="s">
        <v>115</v>
      </c>
      <c r="F28" s="65">
        <v>5</v>
      </c>
      <c r="G28" s="64">
        <v>3</v>
      </c>
      <c r="H28" s="64">
        <v>2</v>
      </c>
      <c r="I28" s="60">
        <f t="shared" si="0"/>
        <v>30</v>
      </c>
    </row>
    <row r="29" spans="2:9" x14ac:dyDescent="0.25">
      <c r="B29" s="66" t="s">
        <v>117</v>
      </c>
      <c r="C29" s="64">
        <v>100</v>
      </c>
      <c r="D29" s="64">
        <v>2000</v>
      </c>
      <c r="E29" s="64" t="s">
        <v>115</v>
      </c>
      <c r="F29" s="65">
        <v>1.8</v>
      </c>
      <c r="G29" s="64">
        <v>20</v>
      </c>
      <c r="H29" s="64">
        <v>5</v>
      </c>
      <c r="I29" s="60">
        <f t="shared" si="0"/>
        <v>180</v>
      </c>
    </row>
    <row r="30" spans="2:9" x14ac:dyDescent="0.25">
      <c r="B30" s="66" t="s">
        <v>103</v>
      </c>
      <c r="C30" s="64">
        <v>100</v>
      </c>
      <c r="D30" s="64" t="s">
        <v>116</v>
      </c>
      <c r="E30" s="64" t="s">
        <v>115</v>
      </c>
      <c r="F30" s="65">
        <v>0.25</v>
      </c>
      <c r="G30" s="64">
        <v>10</v>
      </c>
      <c r="H30" s="64">
        <v>5</v>
      </c>
      <c r="I30" s="60">
        <f t="shared" si="0"/>
        <v>12.5</v>
      </c>
    </row>
    <row r="31" spans="2:9" x14ac:dyDescent="0.25">
      <c r="B31" s="66" t="s">
        <v>103</v>
      </c>
      <c r="C31" s="64">
        <v>10</v>
      </c>
      <c r="D31" s="64">
        <v>800</v>
      </c>
      <c r="E31" s="64" t="s">
        <v>107</v>
      </c>
      <c r="F31" s="65">
        <v>0.2</v>
      </c>
      <c r="G31" s="64">
        <v>25</v>
      </c>
      <c r="H31" s="64">
        <v>2</v>
      </c>
      <c r="I31" s="60">
        <f t="shared" si="0"/>
        <v>10</v>
      </c>
    </row>
    <row r="32" spans="2:9" x14ac:dyDescent="0.25">
      <c r="B32" s="66" t="s">
        <v>103</v>
      </c>
      <c r="C32" s="64">
        <v>60</v>
      </c>
      <c r="D32" s="64">
        <v>1000</v>
      </c>
      <c r="E32" s="64" t="s">
        <v>115</v>
      </c>
      <c r="F32" s="65">
        <v>0.15</v>
      </c>
      <c r="G32" s="64">
        <v>25</v>
      </c>
      <c r="H32" s="64">
        <v>0</v>
      </c>
      <c r="I32" s="60">
        <f t="shared" si="0"/>
        <v>0</v>
      </c>
    </row>
    <row r="33" spans="2:9" x14ac:dyDescent="0.25">
      <c r="B33" s="66" t="s">
        <v>103</v>
      </c>
      <c r="C33" s="64">
        <v>80</v>
      </c>
      <c r="D33" s="64">
        <v>1000</v>
      </c>
      <c r="E33" s="64" t="s">
        <v>115</v>
      </c>
      <c r="F33" s="65">
        <v>0.2</v>
      </c>
      <c r="G33" s="64">
        <v>30</v>
      </c>
      <c r="H33" s="64">
        <v>2</v>
      </c>
      <c r="I33" s="60">
        <f t="shared" si="0"/>
        <v>12</v>
      </c>
    </row>
    <row r="34" spans="2:9" x14ac:dyDescent="0.25">
      <c r="B34" s="66" t="s">
        <v>103</v>
      </c>
      <c r="C34" s="64">
        <v>100</v>
      </c>
      <c r="D34" s="64">
        <v>2000</v>
      </c>
      <c r="E34" s="64" t="s">
        <v>107</v>
      </c>
      <c r="F34" s="65">
        <v>0.8</v>
      </c>
      <c r="G34" s="64">
        <v>10</v>
      </c>
      <c r="H34" s="64">
        <v>5</v>
      </c>
      <c r="I34" s="60">
        <f t="shared" si="0"/>
        <v>40</v>
      </c>
    </row>
    <row r="35" spans="2:9" ht="15.75" thickBot="1" x14ac:dyDescent="0.3">
      <c r="B35" s="63" t="s">
        <v>103</v>
      </c>
      <c r="C35" s="61">
        <v>40</v>
      </c>
      <c r="D35" s="61">
        <v>1000</v>
      </c>
      <c r="E35" s="61" t="s">
        <v>107</v>
      </c>
      <c r="F35" s="62">
        <v>0.1</v>
      </c>
      <c r="G35" s="61">
        <v>20</v>
      </c>
      <c r="H35" s="61">
        <v>5</v>
      </c>
      <c r="I35" s="60">
        <f t="shared" si="0"/>
        <v>10</v>
      </c>
    </row>
    <row r="36" spans="2:9" ht="15.75" thickTop="1" x14ac:dyDescent="0.25"/>
    <row r="37" spans="2:9" x14ac:dyDescent="0.25">
      <c r="B37" s="48" t="s">
        <v>114</v>
      </c>
    </row>
    <row r="38" spans="2:9" ht="15.75" thickBot="1" x14ac:dyDescent="0.3"/>
    <row r="39" spans="2:9" ht="16.5" thickBot="1" x14ac:dyDescent="0.3">
      <c r="B39" s="197" t="s">
        <v>129</v>
      </c>
      <c r="C39" s="209"/>
      <c r="D39" s="209"/>
      <c r="E39" s="209"/>
      <c r="F39" s="209"/>
      <c r="G39" s="209"/>
      <c r="H39" s="210"/>
    </row>
    <row r="40" spans="2:9" ht="15.75" thickBot="1" x14ac:dyDescent="0.3"/>
    <row r="41" spans="2:9" ht="15.75" thickTop="1" x14ac:dyDescent="0.25">
      <c r="E41" s="59" t="s">
        <v>108</v>
      </c>
    </row>
    <row r="42" spans="2:9" ht="15.75" thickBot="1" x14ac:dyDescent="0.3">
      <c r="B42" s="51" t="s">
        <v>112</v>
      </c>
      <c r="C42" s="40"/>
      <c r="D42" s="40"/>
      <c r="E42" s="58" t="s">
        <v>107</v>
      </c>
    </row>
    <row r="43" spans="2:9" ht="15.75" thickTop="1" x14ac:dyDescent="0.25"/>
    <row r="44" spans="2:9" ht="15.75" thickBot="1" x14ac:dyDescent="0.3"/>
    <row r="45" spans="2:9" ht="15.75" thickBot="1" x14ac:dyDescent="0.3">
      <c r="B45" s="57" t="str">
        <f>"The stock value of "&amp;E24&amp;" is : "</f>
        <v xml:space="preserve">The stock value of Horizon is : </v>
      </c>
      <c r="C45" s="40"/>
      <c r="D45" s="50"/>
      <c r="E45" s="56">
        <f>DSUM(B19:I35,I19,E41:E42)</f>
        <v>248</v>
      </c>
    </row>
    <row r="48" spans="2:9" x14ac:dyDescent="0.25">
      <c r="B48" s="48" t="s">
        <v>110</v>
      </c>
    </row>
    <row r="49" spans="2:8" ht="15.75" thickBot="1" x14ac:dyDescent="0.3"/>
    <row r="50" spans="2:8" ht="15.75" thickBot="1" x14ac:dyDescent="0.3">
      <c r="B50" s="200" t="s">
        <v>128</v>
      </c>
      <c r="C50" s="201"/>
      <c r="D50" s="201"/>
      <c r="E50" s="201"/>
      <c r="F50" s="201"/>
      <c r="G50" s="201"/>
      <c r="H50" s="202"/>
    </row>
    <row r="52" spans="2:8" ht="15.75" thickBot="1" x14ac:dyDescent="0.3"/>
    <row r="53" spans="2:8" ht="15.75" thickTop="1" x14ac:dyDescent="0.25">
      <c r="B53" s="47" t="s">
        <v>39</v>
      </c>
      <c r="C53" s="46" t="s">
        <v>108</v>
      </c>
    </row>
    <row r="54" spans="2:8" ht="15.75" thickBot="1" x14ac:dyDescent="0.3">
      <c r="B54" s="45" t="s">
        <v>103</v>
      </c>
      <c r="C54" s="44" t="s">
        <v>115</v>
      </c>
    </row>
    <row r="55" spans="2:8" ht="15.75" thickTop="1" x14ac:dyDescent="0.25"/>
    <row r="57" spans="2:8" x14ac:dyDescent="0.25">
      <c r="B57" s="40" t="s">
        <v>127</v>
      </c>
      <c r="C57" s="40">
        <f>DSUM(B19:I35,I19,B53:C54)</f>
        <v>54.5</v>
      </c>
    </row>
    <row r="60" spans="2:8" x14ac:dyDescent="0.25">
      <c r="B60" s="48" t="s">
        <v>106</v>
      </c>
    </row>
    <row r="61" spans="2:8" ht="15.75" thickBot="1" x14ac:dyDescent="0.3"/>
    <row r="62" spans="2:8" ht="18.75" thickBot="1" x14ac:dyDescent="0.3">
      <c r="B62" s="206" t="s">
        <v>41</v>
      </c>
      <c r="C62" s="207"/>
      <c r="D62" s="207"/>
      <c r="E62" s="207"/>
      <c r="F62" s="208"/>
    </row>
    <row r="64" spans="2:8" ht="16.5" x14ac:dyDescent="0.25">
      <c r="B64" s="13" t="s">
        <v>40</v>
      </c>
      <c r="C64" s="13" t="s">
        <v>39</v>
      </c>
      <c r="D64" s="13" t="s">
        <v>38</v>
      </c>
      <c r="E64" s="13" t="s">
        <v>37</v>
      </c>
      <c r="F64" s="13" t="s">
        <v>2</v>
      </c>
    </row>
    <row r="65" spans="2:6" ht="15.75" x14ac:dyDescent="0.25">
      <c r="B65" s="11" t="s">
        <v>29</v>
      </c>
      <c r="C65" s="11" t="s">
        <v>35</v>
      </c>
      <c r="D65" s="11">
        <v>500</v>
      </c>
      <c r="E65" s="11">
        <v>26</v>
      </c>
      <c r="F65" s="11">
        <v>30</v>
      </c>
    </row>
    <row r="66" spans="2:6" ht="15.75" x14ac:dyDescent="0.25">
      <c r="B66" s="11" t="s">
        <v>31</v>
      </c>
      <c r="C66" s="11" t="s">
        <v>35</v>
      </c>
      <c r="D66" s="11">
        <v>800</v>
      </c>
      <c r="E66" s="11">
        <v>17</v>
      </c>
      <c r="F66" s="11">
        <v>25</v>
      </c>
    </row>
    <row r="67" spans="2:6" ht="15.75" x14ac:dyDescent="0.25">
      <c r="B67" s="11" t="s">
        <v>34</v>
      </c>
      <c r="C67" s="11" t="s">
        <v>30</v>
      </c>
      <c r="D67" s="11">
        <v>800</v>
      </c>
      <c r="E67" s="11">
        <v>40</v>
      </c>
      <c r="F67" s="11">
        <v>25</v>
      </c>
    </row>
    <row r="68" spans="2:6" ht="15.75" x14ac:dyDescent="0.25">
      <c r="B68" s="11" t="s">
        <v>29</v>
      </c>
      <c r="C68" s="11" t="s">
        <v>36</v>
      </c>
      <c r="D68" s="11">
        <v>860</v>
      </c>
      <c r="E68" s="11">
        <v>25</v>
      </c>
      <c r="F68" s="11">
        <v>20</v>
      </c>
    </row>
    <row r="69" spans="2:6" ht="15.75" x14ac:dyDescent="0.25">
      <c r="B69" s="11" t="s">
        <v>31</v>
      </c>
      <c r="C69" s="11" t="s">
        <v>36</v>
      </c>
      <c r="D69" s="11">
        <v>400</v>
      </c>
      <c r="E69" s="11">
        <v>34</v>
      </c>
      <c r="F69" s="11">
        <v>25</v>
      </c>
    </row>
    <row r="70" spans="2:6" ht="15.75" x14ac:dyDescent="0.25">
      <c r="B70" s="11" t="s">
        <v>32</v>
      </c>
      <c r="C70" s="11" t="s">
        <v>35</v>
      </c>
      <c r="D70" s="11">
        <v>890</v>
      </c>
      <c r="E70" s="11">
        <v>78</v>
      </c>
      <c r="F70" s="11">
        <v>90</v>
      </c>
    </row>
    <row r="71" spans="2:6" ht="15.75" x14ac:dyDescent="0.25">
      <c r="B71" s="11" t="s">
        <v>32</v>
      </c>
      <c r="C71" s="11" t="s">
        <v>28</v>
      </c>
      <c r="D71" s="11">
        <v>345</v>
      </c>
      <c r="E71" s="11">
        <v>4</v>
      </c>
      <c r="F71" s="11">
        <v>6</v>
      </c>
    </row>
    <row r="72" spans="2:6" ht="15.75" x14ac:dyDescent="0.25">
      <c r="B72" s="11" t="s">
        <v>31</v>
      </c>
      <c r="C72" s="11" t="s">
        <v>33</v>
      </c>
      <c r="D72" s="11">
        <v>1200</v>
      </c>
      <c r="E72" s="11">
        <v>12</v>
      </c>
      <c r="F72" s="11">
        <v>15</v>
      </c>
    </row>
    <row r="73" spans="2:6" ht="15.75" x14ac:dyDescent="0.25">
      <c r="B73" s="11" t="s">
        <v>29</v>
      </c>
      <c r="C73" s="11" t="s">
        <v>35</v>
      </c>
      <c r="D73" s="11">
        <v>670</v>
      </c>
      <c r="E73" s="11">
        <v>22</v>
      </c>
      <c r="F73" s="11">
        <v>25</v>
      </c>
    </row>
    <row r="74" spans="2:6" ht="15.75" x14ac:dyDescent="0.25">
      <c r="B74" s="11" t="s">
        <v>34</v>
      </c>
      <c r="C74" s="11" t="s">
        <v>28</v>
      </c>
      <c r="D74" s="11">
        <v>890</v>
      </c>
      <c r="E74" s="11">
        <v>45</v>
      </c>
      <c r="F74" s="11">
        <v>50</v>
      </c>
    </row>
    <row r="75" spans="2:6" ht="15.75" x14ac:dyDescent="0.25">
      <c r="B75" s="11" t="s">
        <v>29</v>
      </c>
      <c r="C75" s="11" t="s">
        <v>33</v>
      </c>
      <c r="D75" s="11">
        <v>675</v>
      </c>
      <c r="E75" s="11">
        <v>70</v>
      </c>
      <c r="F75" s="11">
        <v>75</v>
      </c>
    </row>
    <row r="76" spans="2:6" ht="15.75" x14ac:dyDescent="0.25">
      <c r="B76" s="11" t="s">
        <v>31</v>
      </c>
      <c r="C76" s="11" t="s">
        <v>33</v>
      </c>
      <c r="D76" s="11">
        <v>890</v>
      </c>
      <c r="E76" s="11">
        <v>90</v>
      </c>
      <c r="F76" s="11">
        <v>75</v>
      </c>
    </row>
    <row r="77" spans="2:6" ht="15.75" x14ac:dyDescent="0.25">
      <c r="B77" s="11" t="s">
        <v>32</v>
      </c>
      <c r="C77" s="11" t="s">
        <v>30</v>
      </c>
      <c r="D77" s="11">
        <v>345</v>
      </c>
      <c r="E77" s="11">
        <v>17</v>
      </c>
      <c r="F77" s="11">
        <v>15</v>
      </c>
    </row>
    <row r="78" spans="2:6" ht="15.75" x14ac:dyDescent="0.25">
      <c r="B78" s="11" t="s">
        <v>31</v>
      </c>
      <c r="C78" s="11" t="s">
        <v>30</v>
      </c>
      <c r="D78" s="11">
        <v>1000</v>
      </c>
      <c r="E78" s="11">
        <v>20</v>
      </c>
      <c r="F78" s="11">
        <v>10</v>
      </c>
    </row>
    <row r="79" spans="2:6" ht="15.75" x14ac:dyDescent="0.25">
      <c r="B79" s="11" t="s">
        <v>29</v>
      </c>
      <c r="C79" s="11" t="s">
        <v>28</v>
      </c>
      <c r="D79" s="11">
        <v>670</v>
      </c>
      <c r="E79" s="11">
        <v>90</v>
      </c>
      <c r="F79" s="11">
        <v>100</v>
      </c>
    </row>
    <row r="82" spans="2:5" ht="15.75" x14ac:dyDescent="0.25">
      <c r="C82" s="42" t="s">
        <v>40</v>
      </c>
      <c r="E82" t="s">
        <v>209</v>
      </c>
    </row>
    <row r="83" spans="2:5" x14ac:dyDescent="0.25">
      <c r="C83" s="41" t="s">
        <v>29</v>
      </c>
      <c r="E83" t="s">
        <v>31</v>
      </c>
    </row>
    <row r="84" spans="2:5" ht="15.75" thickBot="1" x14ac:dyDescent="0.3">
      <c r="E84">
        <f>DSUM(B64:F79,E64,E82:E83)</f>
        <v>173</v>
      </c>
    </row>
    <row r="85" spans="2:5" ht="15.75" thickBot="1" x14ac:dyDescent="0.3">
      <c r="B85" s="40" t="s">
        <v>126</v>
      </c>
      <c r="C85" s="49">
        <f>DSUM(B64:F79,E64,C82:C83)</f>
        <v>233</v>
      </c>
    </row>
    <row r="89" spans="2:5" ht="15.75" x14ac:dyDescent="0.25">
      <c r="B89" s="42" t="s">
        <v>40</v>
      </c>
      <c r="C89" s="42" t="s">
        <v>39</v>
      </c>
    </row>
    <row r="90" spans="2:5" x14ac:dyDescent="0.25">
      <c r="B90" s="71" t="s">
        <v>29</v>
      </c>
      <c r="C90" s="71" t="s">
        <v>33</v>
      </c>
    </row>
    <row r="91" spans="2:5" x14ac:dyDescent="0.25">
      <c r="B91" s="71" t="s">
        <v>29</v>
      </c>
      <c r="C91" s="71" t="s">
        <v>30</v>
      </c>
    </row>
    <row r="93" spans="2:5" ht="15.75" thickBot="1" x14ac:dyDescent="0.3">
      <c r="B93" s="70"/>
    </row>
    <row r="94" spans="2:5" ht="15.75" thickBot="1" x14ac:dyDescent="0.3">
      <c r="B94" s="211" t="s">
        <v>125</v>
      </c>
      <c r="C94" s="49">
        <f>DSUM(B64:F79,E64,B89:C91)</f>
        <v>70</v>
      </c>
    </row>
    <row r="95" spans="2:5" x14ac:dyDescent="0.25">
      <c r="B95" s="211"/>
    </row>
  </sheetData>
  <mergeCells count="4">
    <mergeCell ref="B39:H39"/>
    <mergeCell ref="B50:H50"/>
    <mergeCell ref="B62:F62"/>
    <mergeCell ref="B94:B9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B3:Q30"/>
  <sheetViews>
    <sheetView zoomScale="70" zoomScaleNormal="70" workbookViewId="0">
      <selection activeCell="B12" sqref="B12"/>
    </sheetView>
  </sheetViews>
  <sheetFormatPr defaultRowHeight="15" x14ac:dyDescent="0.25"/>
  <cols>
    <col min="2" max="4" width="15.42578125" customWidth="1"/>
    <col min="5" max="5" width="22.7109375" bestFit="1" customWidth="1"/>
    <col min="6" max="6" width="15.42578125" customWidth="1"/>
    <col min="7" max="7" width="9.85546875" customWidth="1"/>
    <col min="8" max="8" width="10" bestFit="1" customWidth="1"/>
    <col min="9" max="9" width="10.7109375" bestFit="1" customWidth="1"/>
    <col min="10" max="10" width="13.7109375" bestFit="1" customWidth="1"/>
    <col min="11" max="11" width="21" bestFit="1" customWidth="1"/>
    <col min="12" max="12" width="9.140625" bestFit="1" customWidth="1"/>
    <col min="13" max="14" width="9.85546875" customWidth="1"/>
  </cols>
  <sheetData>
    <row r="3" spans="2:17" ht="18" customHeight="1" x14ac:dyDescent="0.3">
      <c r="B3" s="18" t="s">
        <v>44</v>
      </c>
      <c r="C3" s="18"/>
      <c r="D3" s="18"/>
      <c r="E3" s="18"/>
      <c r="F3" s="18"/>
      <c r="G3" s="18"/>
      <c r="H3" s="18"/>
      <c r="I3" s="18"/>
      <c r="J3" s="18"/>
      <c r="K3" s="17"/>
      <c r="L3" s="16"/>
      <c r="M3" s="16"/>
      <c r="N3" s="16"/>
      <c r="O3" s="15"/>
      <c r="P3" s="15"/>
      <c r="Q3" s="15"/>
    </row>
    <row r="4" spans="2:17" ht="18" customHeight="1" x14ac:dyDescent="0.3">
      <c r="B4" s="18" t="s">
        <v>43</v>
      </c>
      <c r="C4" s="18"/>
      <c r="D4" s="18"/>
      <c r="E4" s="18"/>
      <c r="F4" s="18"/>
      <c r="G4" s="18"/>
      <c r="H4" s="18"/>
      <c r="I4" s="18"/>
      <c r="J4" s="18"/>
      <c r="K4" s="17"/>
      <c r="L4" s="16"/>
      <c r="M4" s="16"/>
      <c r="N4" s="16"/>
      <c r="O4" s="15"/>
      <c r="Q4" s="15"/>
    </row>
    <row r="5" spans="2:17" ht="18" customHeight="1" x14ac:dyDescent="0.3">
      <c r="B5" s="18" t="s">
        <v>42</v>
      </c>
      <c r="C5" s="18"/>
      <c r="D5" s="18"/>
      <c r="E5" s="18"/>
      <c r="F5" s="18"/>
      <c r="G5" s="18"/>
      <c r="H5" s="18"/>
      <c r="I5" s="18"/>
      <c r="J5" s="18"/>
      <c r="K5" s="17"/>
      <c r="L5" s="16"/>
      <c r="M5" s="16"/>
      <c r="N5" s="16"/>
      <c r="O5" s="15"/>
      <c r="P5" s="15"/>
      <c r="Q5" s="15"/>
    </row>
    <row r="7" spans="2:17" ht="15.75" thickBot="1" x14ac:dyDescent="0.3"/>
    <row r="8" spans="2:17" ht="24.75" customHeight="1" thickBot="1" x14ac:dyDescent="0.3">
      <c r="B8" s="206" t="s">
        <v>41</v>
      </c>
      <c r="C8" s="207"/>
      <c r="D8" s="207"/>
      <c r="E8" s="207"/>
      <c r="F8" s="208"/>
      <c r="G8" s="14"/>
      <c r="H8" s="14"/>
    </row>
    <row r="10" spans="2:17" ht="16.5" x14ac:dyDescent="0.25">
      <c r="B10" s="13" t="s">
        <v>40</v>
      </c>
      <c r="C10" s="13" t="s">
        <v>39</v>
      </c>
      <c r="D10" s="13" t="s">
        <v>38</v>
      </c>
      <c r="E10" s="13" t="s">
        <v>37</v>
      </c>
      <c r="F10" s="13" t="s">
        <v>2</v>
      </c>
    </row>
    <row r="11" spans="2:17" ht="15.75" x14ac:dyDescent="0.25">
      <c r="B11" s="11" t="s">
        <v>29</v>
      </c>
      <c r="C11" s="11" t="s">
        <v>35</v>
      </c>
      <c r="D11" s="11">
        <v>500</v>
      </c>
      <c r="E11" s="11">
        <v>26</v>
      </c>
      <c r="F11" s="11">
        <v>30</v>
      </c>
    </row>
    <row r="12" spans="2:17" ht="16.5" x14ac:dyDescent="0.25">
      <c r="B12" s="11" t="s">
        <v>31</v>
      </c>
      <c r="C12" s="11" t="s">
        <v>35</v>
      </c>
      <c r="D12" s="11">
        <v>800</v>
      </c>
      <c r="E12" s="11">
        <v>17</v>
      </c>
      <c r="F12" s="11">
        <v>25</v>
      </c>
      <c r="I12" s="13" t="s">
        <v>40</v>
      </c>
      <c r="J12" s="13" t="s">
        <v>39</v>
      </c>
      <c r="K12" s="13" t="s">
        <v>38</v>
      </c>
      <c r="L12" s="13" t="s">
        <v>37</v>
      </c>
      <c r="M12" s="13" t="s">
        <v>2</v>
      </c>
    </row>
    <row r="13" spans="2:17" ht="15.75" x14ac:dyDescent="0.25">
      <c r="B13" s="11" t="s">
        <v>34</v>
      </c>
      <c r="C13" s="11" t="s">
        <v>30</v>
      </c>
      <c r="D13" s="11">
        <v>800</v>
      </c>
      <c r="E13" s="11">
        <v>40</v>
      </c>
      <c r="F13" s="11">
        <v>25</v>
      </c>
      <c r="I13" s="11" t="s">
        <v>32</v>
      </c>
    </row>
    <row r="14" spans="2:17" ht="15.75" x14ac:dyDescent="0.25">
      <c r="B14" s="11" t="s">
        <v>29</v>
      </c>
      <c r="C14" s="11" t="s">
        <v>36</v>
      </c>
      <c r="D14" s="11">
        <v>860</v>
      </c>
      <c r="E14" s="11">
        <v>25</v>
      </c>
      <c r="F14" s="11">
        <v>20</v>
      </c>
    </row>
    <row r="15" spans="2:17" ht="15.75" x14ac:dyDescent="0.25">
      <c r="B15" s="11" t="s">
        <v>31</v>
      </c>
      <c r="C15" s="11" t="s">
        <v>36</v>
      </c>
      <c r="D15" s="11">
        <v>400</v>
      </c>
      <c r="E15" s="11">
        <v>34</v>
      </c>
      <c r="F15" s="11">
        <v>25</v>
      </c>
    </row>
    <row r="16" spans="2:17" ht="15.75" x14ac:dyDescent="0.25">
      <c r="B16" s="11" t="s">
        <v>32</v>
      </c>
      <c r="C16" s="11" t="s">
        <v>35</v>
      </c>
      <c r="D16" s="11">
        <v>890</v>
      </c>
      <c r="E16" s="11">
        <v>78</v>
      </c>
      <c r="F16" s="11">
        <v>90</v>
      </c>
    </row>
    <row r="17" spans="2:12" ht="15.75" x14ac:dyDescent="0.25">
      <c r="B17" s="11" t="s">
        <v>32</v>
      </c>
      <c r="C17" s="11" t="s">
        <v>28</v>
      </c>
      <c r="D17" s="11">
        <v>345</v>
      </c>
      <c r="E17" s="11">
        <v>4</v>
      </c>
      <c r="F17" s="11">
        <v>6</v>
      </c>
    </row>
    <row r="18" spans="2:12" ht="15.75" x14ac:dyDescent="0.25">
      <c r="B18" s="11" t="s">
        <v>31</v>
      </c>
      <c r="C18" s="11" t="s">
        <v>33</v>
      </c>
      <c r="D18" s="11">
        <v>1200</v>
      </c>
      <c r="E18" s="11">
        <v>12</v>
      </c>
      <c r="F18" s="11">
        <v>15</v>
      </c>
    </row>
    <row r="19" spans="2:12" ht="15.75" x14ac:dyDescent="0.25">
      <c r="B19" s="11" t="s">
        <v>29</v>
      </c>
      <c r="C19" s="11" t="s">
        <v>35</v>
      </c>
      <c r="D19" s="11">
        <v>670</v>
      </c>
      <c r="E19" s="11">
        <v>22</v>
      </c>
      <c r="F19" s="11">
        <v>25</v>
      </c>
    </row>
    <row r="20" spans="2:12" ht="15.75" x14ac:dyDescent="0.25">
      <c r="B20" s="11" t="s">
        <v>34</v>
      </c>
      <c r="C20" s="11" t="s">
        <v>28</v>
      </c>
      <c r="D20" s="11">
        <v>890</v>
      </c>
      <c r="E20" s="11">
        <v>45</v>
      </c>
      <c r="F20" s="11">
        <v>50</v>
      </c>
    </row>
    <row r="21" spans="2:12" ht="15.75" x14ac:dyDescent="0.25">
      <c r="B21" s="11" t="s">
        <v>29</v>
      </c>
      <c r="C21" s="11" t="s">
        <v>33</v>
      </c>
      <c r="D21" s="11">
        <v>675</v>
      </c>
      <c r="E21" s="11">
        <v>70</v>
      </c>
      <c r="F21" s="11">
        <v>75</v>
      </c>
    </row>
    <row r="22" spans="2:12" ht="15.75" x14ac:dyDescent="0.25">
      <c r="B22" s="11" t="s">
        <v>31</v>
      </c>
      <c r="C22" s="11" t="s">
        <v>33</v>
      </c>
      <c r="D22" s="11">
        <v>890</v>
      </c>
      <c r="E22" s="11">
        <v>90</v>
      </c>
      <c r="F22" s="11">
        <v>75</v>
      </c>
    </row>
    <row r="23" spans="2:12" ht="15.75" x14ac:dyDescent="0.25">
      <c r="B23" s="11" t="s">
        <v>32</v>
      </c>
      <c r="C23" s="11" t="s">
        <v>30</v>
      </c>
      <c r="D23" s="11">
        <v>345</v>
      </c>
      <c r="E23" s="11">
        <v>17</v>
      </c>
      <c r="F23" s="11">
        <v>15</v>
      </c>
    </row>
    <row r="24" spans="2:12" ht="15.75" x14ac:dyDescent="0.25">
      <c r="B24" s="11" t="s">
        <v>31</v>
      </c>
      <c r="C24" s="11" t="s">
        <v>30</v>
      </c>
      <c r="D24" s="11">
        <v>1000</v>
      </c>
      <c r="E24" s="11">
        <v>20</v>
      </c>
      <c r="F24" s="11">
        <v>10</v>
      </c>
    </row>
    <row r="25" spans="2:12" ht="15.75" x14ac:dyDescent="0.25">
      <c r="B25" s="11" t="s">
        <v>29</v>
      </c>
      <c r="C25" s="11" t="s">
        <v>28</v>
      </c>
      <c r="D25" s="11">
        <v>670</v>
      </c>
      <c r="E25" s="11">
        <v>90</v>
      </c>
      <c r="F25" s="11">
        <v>100</v>
      </c>
    </row>
    <row r="27" spans="2:12" ht="16.5" x14ac:dyDescent="0.25">
      <c r="H27" s="13" t="s">
        <v>40</v>
      </c>
      <c r="I27" s="13" t="s">
        <v>39</v>
      </c>
      <c r="J27" s="13" t="s">
        <v>38</v>
      </c>
      <c r="K27" s="13" t="s">
        <v>37</v>
      </c>
      <c r="L27" s="13" t="s">
        <v>2</v>
      </c>
    </row>
    <row r="28" spans="2:12" ht="15.75" x14ac:dyDescent="0.25">
      <c r="H28" s="11" t="s">
        <v>32</v>
      </c>
      <c r="I28" s="11" t="s">
        <v>35</v>
      </c>
      <c r="J28" s="11">
        <v>890</v>
      </c>
      <c r="K28" s="11">
        <v>78</v>
      </c>
      <c r="L28" s="11">
        <v>90</v>
      </c>
    </row>
    <row r="29" spans="2:12" ht="15.75" x14ac:dyDescent="0.25">
      <c r="H29" s="11" t="s">
        <v>32</v>
      </c>
      <c r="I29" s="11" t="s">
        <v>28</v>
      </c>
      <c r="J29" s="11">
        <v>345</v>
      </c>
      <c r="K29" s="11">
        <v>4</v>
      </c>
      <c r="L29" s="11">
        <v>6</v>
      </c>
    </row>
    <row r="30" spans="2:12" ht="15.75" x14ac:dyDescent="0.25">
      <c r="H30" s="11" t="s">
        <v>32</v>
      </c>
      <c r="I30" s="11" t="s">
        <v>30</v>
      </c>
      <c r="J30" s="11">
        <v>345</v>
      </c>
      <c r="K30" s="11">
        <v>17</v>
      </c>
      <c r="L30" s="11">
        <v>15</v>
      </c>
    </row>
  </sheetData>
  <autoFilter ref="B10:F25"/>
  <mergeCells count="1">
    <mergeCell ref="B8:F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B3:Q25"/>
  <sheetViews>
    <sheetView topLeftCell="A4" workbookViewId="0">
      <selection activeCell="H20" sqref="H20"/>
    </sheetView>
  </sheetViews>
  <sheetFormatPr defaultRowHeight="15" x14ac:dyDescent="0.25"/>
  <cols>
    <col min="2" max="4" width="15.42578125" customWidth="1"/>
    <col min="5" max="5" width="22.7109375" bestFit="1" customWidth="1"/>
    <col min="6" max="6" width="15.42578125" customWidth="1"/>
    <col min="7" max="7" width="9.85546875" customWidth="1"/>
    <col min="8" max="8" width="10" bestFit="1" customWidth="1"/>
    <col min="9" max="9" width="10.7109375" bestFit="1" customWidth="1"/>
    <col min="10" max="10" width="13.7109375" bestFit="1" customWidth="1"/>
    <col min="11" max="11" width="12.85546875" bestFit="1" customWidth="1"/>
    <col min="12" max="12" width="19.42578125" bestFit="1" customWidth="1"/>
    <col min="13" max="14" width="9.85546875" customWidth="1"/>
  </cols>
  <sheetData>
    <row r="3" spans="2:17" ht="18" customHeight="1" x14ac:dyDescent="0.3">
      <c r="B3" s="18" t="s">
        <v>44</v>
      </c>
      <c r="C3" s="18"/>
      <c r="D3" s="18"/>
      <c r="E3" s="18"/>
      <c r="F3" s="18"/>
      <c r="G3" s="18"/>
      <c r="H3" s="18"/>
      <c r="I3" s="18"/>
      <c r="J3" s="18"/>
      <c r="K3" s="17"/>
      <c r="L3" s="16"/>
      <c r="M3" s="16"/>
      <c r="N3" s="16"/>
      <c r="O3" s="15"/>
      <c r="P3" s="15"/>
      <c r="Q3" s="15"/>
    </row>
    <row r="4" spans="2:17" ht="18" customHeight="1" x14ac:dyDescent="0.3">
      <c r="B4" s="18" t="s">
        <v>43</v>
      </c>
      <c r="C4" s="18"/>
      <c r="D4" s="18"/>
      <c r="E4" s="18"/>
      <c r="F4" s="18"/>
      <c r="G4" s="18"/>
      <c r="H4" s="18"/>
      <c r="I4" s="18"/>
      <c r="J4" s="18"/>
      <c r="K4" s="17"/>
      <c r="L4" s="16"/>
      <c r="M4" s="16"/>
      <c r="N4" s="16"/>
      <c r="O4" s="15"/>
      <c r="Q4" s="15"/>
    </row>
    <row r="5" spans="2:17" ht="18" customHeight="1" x14ac:dyDescent="0.3">
      <c r="B5" s="18" t="s">
        <v>42</v>
      </c>
      <c r="C5" s="18"/>
      <c r="D5" s="18"/>
      <c r="E5" s="18"/>
      <c r="F5" s="18"/>
      <c r="G5" s="18"/>
      <c r="H5" s="18"/>
      <c r="I5" s="18"/>
      <c r="J5" s="18"/>
      <c r="K5" s="17"/>
      <c r="L5" s="16"/>
      <c r="M5" s="16"/>
      <c r="N5" s="16"/>
      <c r="O5" s="15"/>
      <c r="P5" s="15"/>
      <c r="Q5" s="15"/>
    </row>
    <row r="7" spans="2:17" ht="15.75" thickBot="1" x14ac:dyDescent="0.3"/>
    <row r="8" spans="2:17" ht="24.75" customHeight="1" thickBot="1" x14ac:dyDescent="0.3">
      <c r="B8" s="206" t="s">
        <v>41</v>
      </c>
      <c r="C8" s="207"/>
      <c r="D8" s="207"/>
      <c r="E8" s="207"/>
      <c r="F8" s="208"/>
      <c r="G8" s="14"/>
      <c r="H8" s="14"/>
    </row>
    <row r="10" spans="2:17" ht="16.5" x14ac:dyDescent="0.25">
      <c r="B10" s="13" t="s">
        <v>40</v>
      </c>
      <c r="C10" s="13" t="s">
        <v>39</v>
      </c>
      <c r="D10" s="13" t="s">
        <v>38</v>
      </c>
      <c r="E10" s="13" t="s">
        <v>37</v>
      </c>
      <c r="F10" s="13" t="s">
        <v>2</v>
      </c>
      <c r="I10" s="13"/>
      <c r="J10" s="13"/>
      <c r="K10" s="13"/>
      <c r="L10" s="13"/>
      <c r="M10" s="13"/>
    </row>
    <row r="11" spans="2:17" ht="15.75" x14ac:dyDescent="0.25">
      <c r="B11" s="11" t="s">
        <v>29</v>
      </c>
      <c r="C11" s="11" t="s">
        <v>35</v>
      </c>
      <c r="D11" s="11">
        <v>500</v>
      </c>
      <c r="E11" s="11">
        <v>26</v>
      </c>
      <c r="F11" s="11">
        <v>30</v>
      </c>
    </row>
    <row r="12" spans="2:17" ht="15.75" x14ac:dyDescent="0.25">
      <c r="B12" s="11" t="s">
        <v>31</v>
      </c>
      <c r="C12" s="11" t="s">
        <v>35</v>
      </c>
      <c r="D12" s="11">
        <v>800</v>
      </c>
      <c r="E12" s="11">
        <v>17</v>
      </c>
      <c r="F12" s="11">
        <v>25</v>
      </c>
      <c r="H12" s="12"/>
      <c r="I12" s="12"/>
      <c r="K12" s="12"/>
      <c r="L12" s="12"/>
    </row>
    <row r="13" spans="2:17" ht="15.75" x14ac:dyDescent="0.25">
      <c r="B13" s="11" t="s">
        <v>34</v>
      </c>
      <c r="C13" s="11" t="s">
        <v>30</v>
      </c>
      <c r="D13" s="11">
        <v>800</v>
      </c>
      <c r="E13" s="11">
        <v>40</v>
      </c>
      <c r="F13" s="11">
        <v>25</v>
      </c>
    </row>
    <row r="14" spans="2:17" ht="15.75" x14ac:dyDescent="0.25">
      <c r="B14" s="11" t="s">
        <v>29</v>
      </c>
      <c r="C14" s="11" t="s">
        <v>36</v>
      </c>
      <c r="D14" s="11">
        <v>860</v>
      </c>
      <c r="E14" s="11">
        <v>25</v>
      </c>
      <c r="F14" s="11">
        <v>20</v>
      </c>
    </row>
    <row r="15" spans="2:17" ht="15.75" x14ac:dyDescent="0.25">
      <c r="B15" s="11" t="s">
        <v>31</v>
      </c>
      <c r="C15" s="11" t="s">
        <v>36</v>
      </c>
      <c r="D15" s="11">
        <v>400</v>
      </c>
      <c r="E15" s="11">
        <v>34</v>
      </c>
      <c r="F15" s="11">
        <v>25</v>
      </c>
    </row>
    <row r="16" spans="2:17" ht="15.75" x14ac:dyDescent="0.25">
      <c r="B16" s="11" t="s">
        <v>32</v>
      </c>
      <c r="C16" s="11" t="s">
        <v>35</v>
      </c>
      <c r="D16" s="11">
        <v>890</v>
      </c>
      <c r="E16" s="11">
        <v>78</v>
      </c>
      <c r="F16" s="11">
        <v>90</v>
      </c>
    </row>
    <row r="17" spans="2:6" ht="15.75" x14ac:dyDescent="0.25">
      <c r="B17" s="11" t="s">
        <v>32</v>
      </c>
      <c r="C17" s="11" t="s">
        <v>28</v>
      </c>
      <c r="D17" s="11">
        <v>345</v>
      </c>
      <c r="E17" s="11">
        <v>4</v>
      </c>
      <c r="F17" s="11">
        <v>6</v>
      </c>
    </row>
    <row r="18" spans="2:6" ht="15.75" x14ac:dyDescent="0.25">
      <c r="B18" s="11" t="s">
        <v>31</v>
      </c>
      <c r="C18" s="11" t="s">
        <v>33</v>
      </c>
      <c r="D18" s="11">
        <v>1200</v>
      </c>
      <c r="E18" s="11">
        <v>12</v>
      </c>
      <c r="F18" s="11">
        <v>15</v>
      </c>
    </row>
    <row r="19" spans="2:6" ht="15.75" x14ac:dyDescent="0.25">
      <c r="B19" s="11" t="s">
        <v>29</v>
      </c>
      <c r="C19" s="11" t="s">
        <v>35</v>
      </c>
      <c r="D19" s="11">
        <v>670</v>
      </c>
      <c r="E19" s="11">
        <v>22</v>
      </c>
      <c r="F19" s="11">
        <v>25</v>
      </c>
    </row>
    <row r="20" spans="2:6" ht="15.75" x14ac:dyDescent="0.25">
      <c r="B20" s="11" t="s">
        <v>34</v>
      </c>
      <c r="C20" s="11" t="s">
        <v>28</v>
      </c>
      <c r="D20" s="11">
        <v>890</v>
      </c>
      <c r="E20" s="11">
        <v>45</v>
      </c>
      <c r="F20" s="11">
        <v>50</v>
      </c>
    </row>
    <row r="21" spans="2:6" ht="15.75" x14ac:dyDescent="0.25">
      <c r="B21" s="11" t="s">
        <v>29</v>
      </c>
      <c r="C21" s="11" t="s">
        <v>33</v>
      </c>
      <c r="D21" s="11">
        <v>675</v>
      </c>
      <c r="E21" s="11">
        <v>70</v>
      </c>
      <c r="F21" s="11">
        <v>75</v>
      </c>
    </row>
    <row r="22" spans="2:6" ht="15.75" x14ac:dyDescent="0.25">
      <c r="B22" s="11" t="s">
        <v>31</v>
      </c>
      <c r="C22" s="11" t="s">
        <v>33</v>
      </c>
      <c r="D22" s="11">
        <v>890</v>
      </c>
      <c r="E22" s="11">
        <v>90</v>
      </c>
      <c r="F22" s="11">
        <v>75</v>
      </c>
    </row>
    <row r="23" spans="2:6" ht="15.75" x14ac:dyDescent="0.25">
      <c r="B23" s="11" t="s">
        <v>32</v>
      </c>
      <c r="C23" s="11" t="s">
        <v>30</v>
      </c>
      <c r="D23" s="11">
        <v>345</v>
      </c>
      <c r="E23" s="11">
        <v>17</v>
      </c>
      <c r="F23" s="11">
        <v>15</v>
      </c>
    </row>
    <row r="24" spans="2:6" ht="15.75" x14ac:dyDescent="0.25">
      <c r="B24" s="11" t="s">
        <v>31</v>
      </c>
      <c r="C24" s="11" t="s">
        <v>30</v>
      </c>
      <c r="D24" s="11">
        <v>1000</v>
      </c>
      <c r="E24" s="11">
        <v>20</v>
      </c>
      <c r="F24" s="11">
        <v>10</v>
      </c>
    </row>
    <row r="25" spans="2:6" ht="15.75" x14ac:dyDescent="0.25">
      <c r="B25" s="11" t="s">
        <v>29</v>
      </c>
      <c r="C25" s="11" t="s">
        <v>28</v>
      </c>
      <c r="D25" s="11">
        <v>670</v>
      </c>
      <c r="E25" s="11">
        <v>90</v>
      </c>
      <c r="F25" s="11">
        <v>100</v>
      </c>
    </row>
  </sheetData>
  <mergeCells count="1">
    <mergeCell ref="B8:F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31"/>
  <sheetViews>
    <sheetView tabSelected="1" workbookViewId="0">
      <selection activeCell="A16" sqref="A16"/>
    </sheetView>
  </sheetViews>
  <sheetFormatPr defaultRowHeight="15" x14ac:dyDescent="0.25"/>
  <cols>
    <col min="1" max="1" width="20.28515625" bestFit="1" customWidth="1"/>
    <col min="3" max="3" width="11.5703125" bestFit="1" customWidth="1"/>
    <col min="4" max="4" width="10.5703125" bestFit="1" customWidth="1"/>
  </cols>
  <sheetData>
    <row r="1" spans="1:8" x14ac:dyDescent="0.25">
      <c r="F1">
        <v>1</v>
      </c>
      <c r="G1">
        <v>2000</v>
      </c>
    </row>
    <row r="2" spans="1:8" x14ac:dyDescent="0.25">
      <c r="G2">
        <v>1200</v>
      </c>
      <c r="H2" t="s">
        <v>230</v>
      </c>
    </row>
    <row r="3" spans="1:8" x14ac:dyDescent="0.25">
      <c r="G3" t="s">
        <v>206</v>
      </c>
      <c r="H3" t="s">
        <v>208</v>
      </c>
    </row>
    <row r="4" spans="1:8" ht="15.75" x14ac:dyDescent="0.25">
      <c r="A4" s="133" t="s">
        <v>231</v>
      </c>
      <c r="C4" s="71">
        <v>25000</v>
      </c>
    </row>
    <row r="5" spans="1:8" x14ac:dyDescent="0.25">
      <c r="G5">
        <v>2000</v>
      </c>
    </row>
    <row r="6" spans="1:8" ht="15.75" x14ac:dyDescent="0.25">
      <c r="A6" s="133" t="s">
        <v>201</v>
      </c>
      <c r="C6" s="71">
        <v>4</v>
      </c>
      <c r="F6">
        <v>48</v>
      </c>
      <c r="G6">
        <v>1600</v>
      </c>
      <c r="H6">
        <v>400</v>
      </c>
    </row>
    <row r="8" spans="1:8" ht="15.75" x14ac:dyDescent="0.25">
      <c r="A8" s="133" t="s">
        <v>207</v>
      </c>
      <c r="C8" s="134">
        <v>0.04</v>
      </c>
      <c r="D8" s="152"/>
    </row>
    <row r="10" spans="1:8" ht="27.75" customHeight="1" x14ac:dyDescent="0.25">
      <c r="A10" s="133" t="s">
        <v>202</v>
      </c>
      <c r="C10" s="151">
        <f>PMT(C8/12,C6*12,-C4)</f>
        <v>564.47636604224942</v>
      </c>
      <c r="D10" s="153"/>
      <c r="E10" s="135" t="s">
        <v>203</v>
      </c>
    </row>
    <row r="13" spans="1:8" x14ac:dyDescent="0.25">
      <c r="A13" s="137">
        <f>PMT(C8/12,C6*12,-C4)</f>
        <v>564.47636604224942</v>
      </c>
    </row>
    <row r="14" spans="1:8" x14ac:dyDescent="0.25">
      <c r="A14" s="137">
        <f>PPMT(C8/12,1,C6*12,A13)</f>
        <v>-10.863754826003044</v>
      </c>
    </row>
    <row r="15" spans="1:8" x14ac:dyDescent="0.25">
      <c r="A15" s="137">
        <f>IPMT(C8/12,2,C6*12,A13)</f>
        <v>-1.8453753707208214</v>
      </c>
    </row>
    <row r="19" spans="1:5" ht="30.75" customHeight="1" x14ac:dyDescent="0.25">
      <c r="A19">
        <v>1</v>
      </c>
      <c r="C19" s="136">
        <f>PPMT(C8/12,1,C6*12,C4)</f>
        <v>-481.14303270891611</v>
      </c>
      <c r="E19" s="135" t="s">
        <v>204</v>
      </c>
    </row>
    <row r="21" spans="1:5" x14ac:dyDescent="0.25">
      <c r="A21">
        <v>48</v>
      </c>
      <c r="C21" s="137">
        <f>PPMT(C8/12,48,C6*12,C4)</f>
        <v>-562.60102927798948</v>
      </c>
    </row>
    <row r="23" spans="1:5" x14ac:dyDescent="0.25">
      <c r="A23">
        <v>58</v>
      </c>
      <c r="C23" s="150">
        <f>PPMT(C8/12,C6*12,58,C4)</f>
        <v>-457.6940378186037</v>
      </c>
    </row>
    <row r="27" spans="1:5" ht="28.5" customHeight="1" x14ac:dyDescent="0.25">
      <c r="A27">
        <v>1</v>
      </c>
      <c r="C27" s="136">
        <f>IPMT(C8/12,1,C6*12,C4)</f>
        <v>-83.333333333333343</v>
      </c>
      <c r="E27" s="135" t="s">
        <v>205</v>
      </c>
    </row>
    <row r="29" spans="1:5" x14ac:dyDescent="0.25">
      <c r="A29">
        <v>48</v>
      </c>
      <c r="C29" s="137">
        <f>IPMT(C8/12,48,C6*12,C4)</f>
        <v>-1.8753367642599654</v>
      </c>
    </row>
    <row r="31" spans="1:5" x14ac:dyDescent="0.25">
      <c r="A31">
        <v>50</v>
      </c>
      <c r="C31" s="150">
        <f>IPMT(C8/12,C6*12,50,C4)</f>
        <v>-5.4005015955264115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Pivot Table Data</vt:lpstr>
      <vt:lpstr>IF Statement</vt:lpstr>
      <vt:lpstr>AND-OR</vt:lpstr>
      <vt:lpstr>Lookup</vt:lpstr>
      <vt:lpstr>Vlookup</vt:lpstr>
      <vt:lpstr>HLookup</vt:lpstr>
      <vt:lpstr>If-vlookup</vt:lpstr>
      <vt:lpstr>Count</vt:lpstr>
      <vt:lpstr>Counta</vt:lpstr>
      <vt:lpstr>CountBlank</vt:lpstr>
      <vt:lpstr>CountIf</vt:lpstr>
      <vt:lpstr>SumIf</vt:lpstr>
      <vt:lpstr>Concatenate</vt:lpstr>
      <vt:lpstr>Clean</vt:lpstr>
      <vt:lpstr>DAVERAGE</vt:lpstr>
      <vt:lpstr>DSUM</vt:lpstr>
      <vt:lpstr>Filter</vt:lpstr>
      <vt:lpstr>Adv. Filter</vt:lpstr>
      <vt:lpstr>Data Table Analysis</vt:lpstr>
      <vt:lpstr>'Adv. Filter'!Criteria</vt:lpstr>
      <vt:lpstr>Filter!Criteria</vt:lpstr>
      <vt:lpstr>'Adv. Filter'!Extract</vt:lpstr>
      <vt:lpstr>Filter!Extract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2026-09-26T07:35:16Z</dcterms:modified>
</cp:coreProperties>
</file>